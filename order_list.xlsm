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EZ\Desktop\"/>
    </mc:Choice>
  </mc:AlternateContent>
  <xr:revisionPtr revIDLastSave="0" documentId="13_ncr:1_{DF5E26F1-7B73-4B95-AE96-042A5C0CEC4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발주내역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1" i="1" l="1"/>
  <c r="G100" i="1"/>
  <c r="G99" i="1"/>
  <c r="G98" i="1"/>
  <c r="G97" i="1"/>
  <c r="H97" i="1" s="1"/>
  <c r="I97" i="1" s="1"/>
  <c r="G96" i="1"/>
  <c r="H96" i="1" s="1"/>
  <c r="I96" i="1" s="1"/>
  <c r="G95" i="1"/>
  <c r="H95" i="1" s="1"/>
  <c r="I95" i="1" s="1"/>
  <c r="G94" i="1"/>
  <c r="H94" i="1" s="1"/>
  <c r="I94" i="1" s="1"/>
  <c r="G93" i="1"/>
  <c r="H93" i="1" s="1"/>
  <c r="I93" i="1" s="1"/>
  <c r="G92" i="1"/>
  <c r="H92" i="1" s="1"/>
  <c r="I92" i="1" s="1"/>
  <c r="G91" i="1"/>
  <c r="H91" i="1" s="1"/>
  <c r="I91" i="1" s="1"/>
  <c r="G90" i="1"/>
  <c r="H90" i="1" s="1"/>
  <c r="I90" i="1" s="1"/>
  <c r="G89" i="1"/>
  <c r="H89" i="1" s="1"/>
  <c r="I89" i="1" s="1"/>
  <c r="G88" i="1"/>
  <c r="H88" i="1" s="1"/>
  <c r="I88" i="1" s="1"/>
  <c r="G87" i="1"/>
  <c r="H87" i="1" s="1"/>
  <c r="I87" i="1" s="1"/>
  <c r="G86" i="1"/>
  <c r="H86" i="1" s="1"/>
  <c r="I86" i="1" s="1"/>
  <c r="G85" i="1"/>
  <c r="H85" i="1" s="1"/>
  <c r="I85" i="1" s="1"/>
  <c r="G84" i="1"/>
  <c r="H84" i="1" s="1"/>
  <c r="I84" i="1" s="1"/>
  <c r="G83" i="1"/>
  <c r="H83" i="1" s="1"/>
  <c r="I83" i="1" s="1"/>
  <c r="G82" i="1"/>
  <c r="H82" i="1" s="1"/>
  <c r="I82" i="1" s="1"/>
  <c r="G81" i="1"/>
  <c r="H81" i="1" s="1"/>
  <c r="I81" i="1" s="1"/>
  <c r="G80" i="1"/>
  <c r="H80" i="1" s="1"/>
  <c r="I80" i="1" s="1"/>
  <c r="G79" i="1"/>
  <c r="H79" i="1" s="1"/>
  <c r="I79" i="1" s="1"/>
  <c r="G78" i="1"/>
  <c r="H78" i="1" s="1"/>
  <c r="I78" i="1" s="1"/>
  <c r="G77" i="1"/>
  <c r="H77" i="1" s="1"/>
  <c r="I77" i="1" s="1"/>
  <c r="G76" i="1"/>
  <c r="H76" i="1" s="1"/>
  <c r="I76" i="1" s="1"/>
  <c r="G75" i="1"/>
  <c r="H75" i="1" s="1"/>
  <c r="I75" i="1" s="1"/>
  <c r="G74" i="1"/>
  <c r="H74" i="1" s="1"/>
  <c r="I74" i="1" s="1"/>
  <c r="G73" i="1"/>
  <c r="H73" i="1" s="1"/>
  <c r="I73" i="1" s="1"/>
  <c r="G72" i="1"/>
  <c r="H72" i="1" s="1"/>
  <c r="I72" i="1" s="1"/>
  <c r="G71" i="1"/>
  <c r="H71" i="1" s="1"/>
  <c r="I71" i="1" s="1"/>
  <c r="G70" i="1"/>
  <c r="H70" i="1" s="1"/>
  <c r="I70" i="1" s="1"/>
  <c r="G69" i="1"/>
  <c r="H69" i="1" s="1"/>
  <c r="I69" i="1" s="1"/>
  <c r="G68" i="1"/>
  <c r="H68" i="1" s="1"/>
  <c r="I68" i="1" s="1"/>
  <c r="G67" i="1"/>
  <c r="H67" i="1" s="1"/>
  <c r="I67" i="1" s="1"/>
  <c r="G66" i="1"/>
  <c r="H66" i="1" s="1"/>
  <c r="I66" i="1" s="1"/>
  <c r="G65" i="1"/>
  <c r="H65" i="1" s="1"/>
  <c r="I65" i="1" s="1"/>
  <c r="G64" i="1"/>
  <c r="H64" i="1" s="1"/>
  <c r="I64" i="1" s="1"/>
  <c r="G63" i="1"/>
  <c r="H63" i="1" s="1"/>
  <c r="I63" i="1" s="1"/>
  <c r="G62" i="1"/>
  <c r="H62" i="1" s="1"/>
  <c r="I62" i="1" s="1"/>
  <c r="G61" i="1"/>
  <c r="H61" i="1" s="1"/>
  <c r="I61" i="1" s="1"/>
  <c r="G60" i="1"/>
  <c r="H60" i="1" s="1"/>
  <c r="I60" i="1" s="1"/>
  <c r="G59" i="1"/>
  <c r="H59" i="1" s="1"/>
  <c r="I59" i="1" s="1"/>
  <c r="G58" i="1"/>
  <c r="H58" i="1" s="1"/>
  <c r="I58" i="1" s="1"/>
  <c r="G57" i="1"/>
  <c r="H57" i="1" s="1"/>
  <c r="I57" i="1" s="1"/>
  <c r="G56" i="1"/>
  <c r="H56" i="1" s="1"/>
  <c r="I56" i="1" s="1"/>
  <c r="G55" i="1"/>
  <c r="H55" i="1" s="1"/>
  <c r="I55" i="1" s="1"/>
  <c r="G54" i="1"/>
  <c r="H54" i="1" s="1"/>
  <c r="I54" i="1" s="1"/>
  <c r="G53" i="1"/>
  <c r="H53" i="1" s="1"/>
  <c r="I53" i="1" s="1"/>
  <c r="G52" i="1"/>
  <c r="H52" i="1" s="1"/>
  <c r="I52" i="1" s="1"/>
  <c r="G51" i="1"/>
  <c r="H51" i="1" s="1"/>
  <c r="I51" i="1" s="1"/>
  <c r="G50" i="1"/>
  <c r="H50" i="1" s="1"/>
  <c r="I50" i="1" s="1"/>
  <c r="G49" i="1"/>
  <c r="H49" i="1" s="1"/>
  <c r="I49" i="1" s="1"/>
  <c r="G48" i="1"/>
  <c r="H48" i="1" s="1"/>
  <c r="I48" i="1" s="1"/>
  <c r="G47" i="1"/>
  <c r="H47" i="1" s="1"/>
  <c r="I47" i="1" s="1"/>
  <c r="G46" i="1"/>
  <c r="H46" i="1" s="1"/>
  <c r="I46" i="1" s="1"/>
  <c r="G45" i="1"/>
  <c r="H45" i="1" s="1"/>
  <c r="I45" i="1" s="1"/>
  <c r="G44" i="1"/>
  <c r="H44" i="1" s="1"/>
  <c r="I44" i="1" s="1"/>
  <c r="G43" i="1"/>
  <c r="H43" i="1" s="1"/>
  <c r="I43" i="1" s="1"/>
  <c r="G42" i="1"/>
  <c r="H42" i="1" s="1"/>
  <c r="I42" i="1" s="1"/>
  <c r="G41" i="1"/>
  <c r="H41" i="1" s="1"/>
  <c r="I41" i="1" s="1"/>
  <c r="G40" i="1"/>
  <c r="H40" i="1" s="1"/>
  <c r="I40" i="1" s="1"/>
  <c r="G39" i="1"/>
  <c r="H39" i="1" s="1"/>
  <c r="I39" i="1" s="1"/>
  <c r="G38" i="1"/>
  <c r="H38" i="1" s="1"/>
  <c r="I38" i="1" s="1"/>
  <c r="G37" i="1"/>
  <c r="H37" i="1" s="1"/>
  <c r="I37" i="1" s="1"/>
  <c r="G36" i="1"/>
  <c r="H36" i="1" s="1"/>
  <c r="I36" i="1" s="1"/>
  <c r="G35" i="1"/>
  <c r="H35" i="1" s="1"/>
  <c r="I35" i="1" s="1"/>
  <c r="G34" i="1"/>
  <c r="H34" i="1" s="1"/>
  <c r="I34" i="1" s="1"/>
  <c r="G33" i="1"/>
  <c r="H33" i="1" s="1"/>
  <c r="I33" i="1" s="1"/>
  <c r="G32" i="1"/>
  <c r="H32" i="1" s="1"/>
  <c r="I32" i="1" s="1"/>
  <c r="G31" i="1"/>
  <c r="H31" i="1" s="1"/>
  <c r="I31" i="1" s="1"/>
  <c r="G30" i="1"/>
  <c r="H30" i="1" s="1"/>
  <c r="I30" i="1" s="1"/>
  <c r="G29" i="1"/>
  <c r="H29" i="1" s="1"/>
  <c r="I29" i="1" s="1"/>
  <c r="G28" i="1"/>
  <c r="H28" i="1" s="1"/>
  <c r="I28" i="1" s="1"/>
  <c r="G27" i="1"/>
  <c r="H27" i="1" s="1"/>
  <c r="I27" i="1" s="1"/>
  <c r="G26" i="1"/>
  <c r="H26" i="1" s="1"/>
  <c r="I26" i="1" s="1"/>
  <c r="G25" i="1"/>
  <c r="H25" i="1" s="1"/>
  <c r="I25" i="1" s="1"/>
  <c r="G24" i="1"/>
  <c r="H24" i="1" s="1"/>
  <c r="I24" i="1" s="1"/>
  <c r="G23" i="1"/>
  <c r="H23" i="1" s="1"/>
  <c r="I23" i="1" s="1"/>
  <c r="G22" i="1"/>
  <c r="H22" i="1" s="1"/>
  <c r="I22" i="1" s="1"/>
  <c r="G21" i="1"/>
  <c r="H21" i="1" s="1"/>
  <c r="I21" i="1" s="1"/>
  <c r="G20" i="1"/>
  <c r="H20" i="1" s="1"/>
  <c r="I20" i="1" s="1"/>
  <c r="G19" i="1"/>
  <c r="H19" i="1" s="1"/>
  <c r="I19" i="1" s="1"/>
  <c r="G18" i="1"/>
  <c r="H18" i="1" s="1"/>
  <c r="I18" i="1" s="1"/>
  <c r="G17" i="1"/>
  <c r="H17" i="1" s="1"/>
  <c r="I17" i="1" s="1"/>
  <c r="G16" i="1"/>
  <c r="H16" i="1" s="1"/>
  <c r="I16" i="1" s="1"/>
  <c r="G15" i="1"/>
  <c r="H15" i="1" s="1"/>
  <c r="I15" i="1" s="1"/>
  <c r="G14" i="1"/>
  <c r="H14" i="1" s="1"/>
  <c r="I14" i="1" s="1"/>
  <c r="G13" i="1"/>
  <c r="H13" i="1" s="1"/>
  <c r="I13" i="1" s="1"/>
  <c r="G12" i="1"/>
  <c r="H12" i="1" s="1"/>
  <c r="I12" i="1" s="1"/>
  <c r="G11" i="1"/>
  <c r="H11" i="1" s="1"/>
  <c r="I11" i="1" s="1"/>
  <c r="G10" i="1"/>
  <c r="H10" i="1" s="1"/>
  <c r="I10" i="1" s="1"/>
  <c r="G9" i="1"/>
  <c r="H9" i="1" s="1"/>
  <c r="I9" i="1" s="1"/>
  <c r="G8" i="1"/>
  <c r="H8" i="1" s="1"/>
  <c r="I8" i="1" s="1"/>
  <c r="G7" i="1"/>
  <c r="H7" i="1" s="1"/>
  <c r="I7" i="1" s="1"/>
  <c r="G6" i="1"/>
  <c r="H6" i="1" s="1"/>
  <c r="I6" i="1" s="1"/>
  <c r="G5" i="1"/>
  <c r="H5" i="1" s="1"/>
  <c r="I5" i="1" s="1"/>
  <c r="G4" i="1"/>
  <c r="H4" i="1" s="1"/>
  <c r="I4" i="1" s="1"/>
  <c r="G3" i="1"/>
  <c r="H3" i="1" s="1"/>
  <c r="I3" i="1" s="1"/>
  <c r="G2" i="1"/>
  <c r="H2" i="1" s="1"/>
  <c r="I2" i="1" s="1"/>
  <c r="H98" i="1" l="1"/>
  <c r="I98" i="1" s="1"/>
  <c r="H99" i="1"/>
  <c r="I99" i="1" s="1"/>
  <c r="H100" i="1"/>
  <c r="I100" i="1" s="1"/>
  <c r="H101" i="1"/>
  <c r="I101" i="1" s="1"/>
</calcChain>
</file>

<file path=xl/sharedStrings.xml><?xml version="1.0" encoding="utf-8"?>
<sst xmlns="http://schemas.openxmlformats.org/spreadsheetml/2006/main" count="410" uniqueCount="171">
  <si>
    <t>No</t>
  </si>
  <si>
    <t>품목코드</t>
  </si>
  <si>
    <t>품목명</t>
  </si>
  <si>
    <t>규격</t>
  </si>
  <si>
    <t>수량</t>
  </si>
  <si>
    <t>단가</t>
  </si>
  <si>
    <t>공급가액</t>
  </si>
  <si>
    <t>부가세</t>
  </si>
  <si>
    <t>합계금액</t>
  </si>
  <si>
    <t>납품지</t>
  </si>
  <si>
    <t>P5082</t>
  </si>
  <si>
    <t>마우스</t>
  </si>
  <si>
    <t>37GB</t>
  </si>
  <si>
    <t>서울 물류센터</t>
  </si>
  <si>
    <t>P9702</t>
  </si>
  <si>
    <t>프린터</t>
  </si>
  <si>
    <t>46GB</t>
  </si>
  <si>
    <t>P8251</t>
  </si>
  <si>
    <t>스피커</t>
  </si>
  <si>
    <t>60GB</t>
  </si>
  <si>
    <t>P7991</t>
  </si>
  <si>
    <t>36GB</t>
  </si>
  <si>
    <t>P8777</t>
  </si>
  <si>
    <t>웹캠</t>
  </si>
  <si>
    <t>24GB</t>
  </si>
  <si>
    <t>P5543</t>
  </si>
  <si>
    <t>39GB</t>
  </si>
  <si>
    <t>P8206</t>
  </si>
  <si>
    <t>53GB</t>
  </si>
  <si>
    <t>P6502</t>
  </si>
  <si>
    <t>SSD</t>
  </si>
  <si>
    <t>42GB</t>
  </si>
  <si>
    <t>P4788</t>
  </si>
  <si>
    <t>외장하드</t>
  </si>
  <si>
    <t>52GB</t>
  </si>
  <si>
    <t>P2052</t>
  </si>
  <si>
    <t>34GB</t>
  </si>
  <si>
    <t>P7812</t>
  </si>
  <si>
    <t>노트북</t>
  </si>
  <si>
    <t>21GB</t>
  </si>
  <si>
    <t>P1320</t>
  </si>
  <si>
    <t>32GB</t>
  </si>
  <si>
    <t>P6763</t>
  </si>
  <si>
    <t>USB</t>
  </si>
  <si>
    <t>56GB</t>
  </si>
  <si>
    <t>P7865</t>
  </si>
  <si>
    <t>55GB</t>
  </si>
  <si>
    <t>P4613</t>
  </si>
  <si>
    <t>22GB</t>
  </si>
  <si>
    <t>P1475</t>
  </si>
  <si>
    <t>29GB</t>
  </si>
  <si>
    <t>P7624</t>
  </si>
  <si>
    <t>키보드</t>
  </si>
  <si>
    <t>61GB</t>
  </si>
  <si>
    <t>P9751</t>
  </si>
  <si>
    <t>33GB</t>
  </si>
  <si>
    <t>P1444</t>
  </si>
  <si>
    <t>49GB</t>
  </si>
  <si>
    <t>P8564</t>
  </si>
  <si>
    <t>11GB</t>
  </si>
  <si>
    <t>P4467</t>
  </si>
  <si>
    <t>28GB</t>
  </si>
  <si>
    <t>P7211</t>
  </si>
  <si>
    <t>P2341</t>
  </si>
  <si>
    <t>9GB</t>
  </si>
  <si>
    <t>P6733</t>
  </si>
  <si>
    <t>모니터</t>
  </si>
  <si>
    <t>P1659</t>
  </si>
  <si>
    <t>23GB</t>
  </si>
  <si>
    <t>P3496</t>
  </si>
  <si>
    <t>16GB</t>
  </si>
  <si>
    <t>P4571</t>
  </si>
  <si>
    <t>P3749</t>
  </si>
  <si>
    <t>P3683</t>
  </si>
  <si>
    <t>14GB</t>
  </si>
  <si>
    <t>P6111</t>
  </si>
  <si>
    <t>51GB</t>
  </si>
  <si>
    <t>P4249</t>
  </si>
  <si>
    <t>45GB</t>
  </si>
  <si>
    <t>P4978</t>
  </si>
  <si>
    <t>P2983</t>
  </si>
  <si>
    <t>58GB</t>
  </si>
  <si>
    <t>P8018</t>
  </si>
  <si>
    <t>12GB</t>
  </si>
  <si>
    <t>P1207</t>
  </si>
  <si>
    <t>P6934</t>
  </si>
  <si>
    <t>P9548</t>
  </si>
  <si>
    <t>47GB</t>
  </si>
  <si>
    <t>P8616</t>
  </si>
  <si>
    <t>P6280</t>
  </si>
  <si>
    <t>P8385</t>
  </si>
  <si>
    <t>P7209</t>
  </si>
  <si>
    <t>P3979</t>
  </si>
  <si>
    <t>P6576</t>
  </si>
  <si>
    <t>64GB</t>
  </si>
  <si>
    <t>P5526</t>
  </si>
  <si>
    <t>8GB</t>
  </si>
  <si>
    <t>P4954</t>
  </si>
  <si>
    <t>P8800</t>
  </si>
  <si>
    <t>P4630</t>
  </si>
  <si>
    <t>P7046</t>
  </si>
  <si>
    <t>43GB</t>
  </si>
  <si>
    <t>P6419</t>
  </si>
  <si>
    <t>P5118</t>
  </si>
  <si>
    <t>15GB</t>
  </si>
  <si>
    <t>P2958</t>
  </si>
  <si>
    <t>P4545</t>
  </si>
  <si>
    <t>25GB</t>
  </si>
  <si>
    <t>P9595</t>
  </si>
  <si>
    <t>26GB</t>
  </si>
  <si>
    <t>P5853</t>
  </si>
  <si>
    <t>31GB</t>
  </si>
  <si>
    <t>P5786</t>
  </si>
  <si>
    <t>48GB</t>
  </si>
  <si>
    <t>P1200</t>
  </si>
  <si>
    <t>P6582</t>
  </si>
  <si>
    <t>P2869</t>
  </si>
  <si>
    <t>P1878</t>
  </si>
  <si>
    <t>17GB</t>
  </si>
  <si>
    <t>P5066</t>
  </si>
  <si>
    <t>P4697</t>
  </si>
  <si>
    <t>P5871</t>
  </si>
  <si>
    <t>35GB</t>
  </si>
  <si>
    <t>P1986</t>
  </si>
  <si>
    <t>P4457</t>
  </si>
  <si>
    <t>50GB</t>
  </si>
  <si>
    <t>P3847</t>
  </si>
  <si>
    <t>P8381</t>
  </si>
  <si>
    <t>38GB</t>
  </si>
  <si>
    <t>P5720</t>
  </si>
  <si>
    <t>P4824</t>
  </si>
  <si>
    <t>P4241</t>
  </si>
  <si>
    <t>P3441</t>
  </si>
  <si>
    <t>P3718</t>
  </si>
  <si>
    <t>P5728</t>
  </si>
  <si>
    <t>P7594</t>
  </si>
  <si>
    <t>40GB</t>
  </si>
  <si>
    <t>P2317</t>
  </si>
  <si>
    <t>10GB</t>
  </si>
  <si>
    <t>P5102</t>
  </si>
  <si>
    <t>13GB</t>
  </si>
  <si>
    <t>P1339</t>
  </si>
  <si>
    <t>44GB</t>
  </si>
  <si>
    <t>P3870</t>
  </si>
  <si>
    <t>41GB</t>
  </si>
  <si>
    <t>P5557</t>
  </si>
  <si>
    <t>P9056</t>
  </si>
  <si>
    <t>P6260</t>
  </si>
  <si>
    <t>62GB</t>
  </si>
  <si>
    <t>P9117</t>
  </si>
  <si>
    <t>P1601</t>
  </si>
  <si>
    <t>P2899</t>
  </si>
  <si>
    <t>63GB</t>
  </si>
  <si>
    <t>P9889</t>
  </si>
  <si>
    <t>P6927</t>
  </si>
  <si>
    <t>P1845</t>
  </si>
  <si>
    <t>P5719</t>
  </si>
  <si>
    <t>P1472</t>
  </si>
  <si>
    <t>59GB</t>
  </si>
  <si>
    <t>P6091</t>
  </si>
  <si>
    <t>P4681</t>
  </si>
  <si>
    <t>P3522</t>
  </si>
  <si>
    <t>P5479</t>
  </si>
  <si>
    <t>P8483</t>
  </si>
  <si>
    <t>P9327</t>
  </si>
  <si>
    <t>P7798</t>
  </si>
  <si>
    <t>P1042</t>
  </si>
  <si>
    <t>54GB</t>
  </si>
  <si>
    <t>P9022</t>
  </si>
  <si>
    <t>P6446</t>
  </si>
  <si>
    <t>P6272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</si>
</sst>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DDD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6" xfId="0" applyBorder="1" applyAlignment="1">
      <alignment horizontal="right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1"/>
  <sheetViews>
    <sheetView tabSelected="1" workbookViewId="0">
      <selection activeCell="I3" sqref="I3"/>
    </sheetView>
  </sheetViews>
  <sheetFormatPr defaultRowHeight="17.399999999999999" x14ac:dyDescent="0.4"/>
  <cols>
    <col min="1" max="1" width="6.3984375" customWidth="1"/>
    <col min="2" max="3" width="8.59765625" bestFit="1" customWidth="1"/>
    <col min="4" max="4" width="5.796875" bestFit="1" customWidth="1"/>
    <col min="5" max="5" width="5" bestFit="1" customWidth="1"/>
    <col min="6" max="6" width="7.3984375" bestFit="1" customWidth="1"/>
    <col min="7" max="7" width="9.3984375" bestFit="1" customWidth="1"/>
    <col min="8" max="8" width="10.3984375" bestFit="1" customWidth="1"/>
    <col min="9" max="9" width="11.5" bestFit="1" customWidth="1"/>
    <col min="10" max="10" width="13" bestFit="1" customWidth="1"/>
  </cols>
  <sheetData>
    <row r="1" spans="1:10" ht="18" thickBot="1" x14ac:dyDescent="0.45">
      <c r="A1" s="13" t="s">
        <v>0</v>
      </c>
      <c r="B1" s="10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2" t="s">
        <v>9</v>
      </c>
    </row>
    <row r="2" spans="1:10" x14ac:dyDescent="0.4">
      <c r="A2" s="9">
        <v>1</v>
      </c>
      <c r="B2" s="7" t="s">
        <v>10</v>
      </c>
      <c r="C2" s="7" t="s">
        <v>11</v>
      </c>
      <c r="D2" s="7" t="s">
        <v>12</v>
      </c>
      <c r="E2" s="7">
        <v>9</v>
      </c>
      <c r="F2" s="14">
        <v>430173</v>
      </c>
      <c r="G2" s="14">
        <f t="shared" ref="G2:G33" si="0">E2*F2</f>
        <v>3871557</v>
      </c>
      <c r="H2" s="14">
        <f t="shared" ref="H2:H33" si="1">G2*0.1</f>
        <v>387155.7</v>
      </c>
      <c r="I2" s="14">
        <f t="shared" ref="I2:I33" si="2">G2+H2</f>
        <v>4258712.7</v>
      </c>
      <c r="J2" s="8" t="s">
        <v>13</v>
      </c>
    </row>
    <row r="3" spans="1:10" x14ac:dyDescent="0.4">
      <c r="A3" s="2">
        <v>2</v>
      </c>
      <c r="B3" s="1" t="s">
        <v>14</v>
      </c>
      <c r="C3" s="1" t="s">
        <v>15</v>
      </c>
      <c r="D3" s="1" t="s">
        <v>16</v>
      </c>
      <c r="E3" s="1">
        <v>21</v>
      </c>
      <c r="F3" s="15">
        <v>405968</v>
      </c>
      <c r="G3" s="15">
        <f t="shared" si="0"/>
        <v>8525328</v>
      </c>
      <c r="H3" s="15">
        <f t="shared" si="1"/>
        <v>852532.8</v>
      </c>
      <c r="I3" s="15">
        <f t="shared" si="2"/>
        <v>9377860.8000000007</v>
      </c>
      <c r="J3" s="3" t="s">
        <v>13</v>
      </c>
    </row>
    <row r="4" spans="1:10" x14ac:dyDescent="0.4">
      <c r="A4" s="2">
        <v>3</v>
      </c>
      <c r="B4" s="1" t="s">
        <v>17</v>
      </c>
      <c r="C4" s="1" t="s">
        <v>18</v>
      </c>
      <c r="D4" s="1" t="s">
        <v>19</v>
      </c>
      <c r="E4" s="1">
        <v>47</v>
      </c>
      <c r="F4" s="15">
        <v>477675</v>
      </c>
      <c r="G4" s="15">
        <f t="shared" si="0"/>
        <v>22450725</v>
      </c>
      <c r="H4" s="15">
        <f t="shared" si="1"/>
        <v>2245072.5</v>
      </c>
      <c r="I4" s="15">
        <f t="shared" si="2"/>
        <v>24695797.5</v>
      </c>
      <c r="J4" s="3" t="s">
        <v>13</v>
      </c>
    </row>
    <row r="5" spans="1:10" x14ac:dyDescent="0.4">
      <c r="A5" s="2">
        <v>4</v>
      </c>
      <c r="B5" s="1" t="s">
        <v>20</v>
      </c>
      <c r="C5" s="1" t="s">
        <v>15</v>
      </c>
      <c r="D5" s="1" t="s">
        <v>21</v>
      </c>
      <c r="E5" s="1">
        <v>11</v>
      </c>
      <c r="F5" s="15">
        <v>399889</v>
      </c>
      <c r="G5" s="15">
        <f t="shared" si="0"/>
        <v>4398779</v>
      </c>
      <c r="H5" s="15">
        <f t="shared" si="1"/>
        <v>439877.9</v>
      </c>
      <c r="I5" s="15">
        <f t="shared" si="2"/>
        <v>4838656.9000000004</v>
      </c>
      <c r="J5" s="3" t="s">
        <v>13</v>
      </c>
    </row>
    <row r="6" spans="1:10" x14ac:dyDescent="0.4">
      <c r="A6" s="2">
        <v>5</v>
      </c>
      <c r="B6" s="1" t="s">
        <v>22</v>
      </c>
      <c r="C6" s="1" t="s">
        <v>23</v>
      </c>
      <c r="D6" s="1" t="s">
        <v>24</v>
      </c>
      <c r="E6" s="1">
        <v>49</v>
      </c>
      <c r="F6" s="15">
        <v>139624</v>
      </c>
      <c r="G6" s="15">
        <f t="shared" si="0"/>
        <v>6841576</v>
      </c>
      <c r="H6" s="15">
        <f t="shared" si="1"/>
        <v>684157.60000000009</v>
      </c>
      <c r="I6" s="15">
        <f t="shared" si="2"/>
        <v>7525733.5999999996</v>
      </c>
      <c r="J6" s="3" t="s">
        <v>13</v>
      </c>
    </row>
    <row r="7" spans="1:10" x14ac:dyDescent="0.4">
      <c r="A7" s="2">
        <v>6</v>
      </c>
      <c r="B7" s="1" t="s">
        <v>25</v>
      </c>
      <c r="C7" s="1" t="s">
        <v>15</v>
      </c>
      <c r="D7" s="1" t="s">
        <v>26</v>
      </c>
      <c r="E7" s="1">
        <v>41</v>
      </c>
      <c r="F7" s="15">
        <v>135433</v>
      </c>
      <c r="G7" s="15">
        <f t="shared" si="0"/>
        <v>5552753</v>
      </c>
      <c r="H7" s="15">
        <f t="shared" si="1"/>
        <v>555275.30000000005</v>
      </c>
      <c r="I7" s="15">
        <f t="shared" si="2"/>
        <v>6108028.2999999998</v>
      </c>
      <c r="J7" s="3" t="s">
        <v>13</v>
      </c>
    </row>
    <row r="8" spans="1:10" x14ac:dyDescent="0.4">
      <c r="A8" s="2">
        <v>7</v>
      </c>
      <c r="B8" s="1" t="s">
        <v>27</v>
      </c>
      <c r="C8" s="1" t="s">
        <v>11</v>
      </c>
      <c r="D8" s="1" t="s">
        <v>28</v>
      </c>
      <c r="E8" s="1">
        <v>19</v>
      </c>
      <c r="F8" s="15">
        <v>132942</v>
      </c>
      <c r="G8" s="15">
        <f t="shared" si="0"/>
        <v>2525898</v>
      </c>
      <c r="H8" s="15">
        <f t="shared" si="1"/>
        <v>252589.80000000002</v>
      </c>
      <c r="I8" s="15">
        <f t="shared" si="2"/>
        <v>2778487.8</v>
      </c>
      <c r="J8" s="3" t="s">
        <v>13</v>
      </c>
    </row>
    <row r="9" spans="1:10" x14ac:dyDescent="0.4">
      <c r="A9" s="2">
        <v>8</v>
      </c>
      <c r="B9" s="1" t="s">
        <v>29</v>
      </c>
      <c r="C9" s="1" t="s">
        <v>30</v>
      </c>
      <c r="D9" s="1" t="s">
        <v>31</v>
      </c>
      <c r="E9" s="1">
        <v>6</v>
      </c>
      <c r="F9" s="15">
        <v>82547</v>
      </c>
      <c r="G9" s="15">
        <f t="shared" si="0"/>
        <v>495282</v>
      </c>
      <c r="H9" s="15">
        <f t="shared" si="1"/>
        <v>49528.200000000004</v>
      </c>
      <c r="I9" s="15">
        <f t="shared" si="2"/>
        <v>544810.19999999995</v>
      </c>
      <c r="J9" s="3" t="s">
        <v>13</v>
      </c>
    </row>
    <row r="10" spans="1:10" x14ac:dyDescent="0.4">
      <c r="A10" s="2">
        <v>9</v>
      </c>
      <c r="B10" s="1" t="s">
        <v>32</v>
      </c>
      <c r="C10" s="1" t="s">
        <v>33</v>
      </c>
      <c r="D10" s="1" t="s">
        <v>34</v>
      </c>
      <c r="E10" s="1">
        <v>10</v>
      </c>
      <c r="F10" s="15">
        <v>380367</v>
      </c>
      <c r="G10" s="15">
        <f t="shared" si="0"/>
        <v>3803670</v>
      </c>
      <c r="H10" s="15">
        <f t="shared" si="1"/>
        <v>380367</v>
      </c>
      <c r="I10" s="15">
        <f t="shared" si="2"/>
        <v>4184037</v>
      </c>
      <c r="J10" s="3" t="s">
        <v>13</v>
      </c>
    </row>
    <row r="11" spans="1:10" x14ac:dyDescent="0.4">
      <c r="A11" s="2">
        <v>10</v>
      </c>
      <c r="B11" s="1" t="s">
        <v>35</v>
      </c>
      <c r="C11" s="1" t="s">
        <v>33</v>
      </c>
      <c r="D11" s="1" t="s">
        <v>36</v>
      </c>
      <c r="E11" s="1">
        <v>22</v>
      </c>
      <c r="F11" s="15">
        <v>294484</v>
      </c>
      <c r="G11" s="15">
        <f t="shared" si="0"/>
        <v>6478648</v>
      </c>
      <c r="H11" s="15">
        <f t="shared" si="1"/>
        <v>647864.80000000005</v>
      </c>
      <c r="I11" s="15">
        <f t="shared" si="2"/>
        <v>7126512.7999999998</v>
      </c>
      <c r="J11" s="3" t="s">
        <v>13</v>
      </c>
    </row>
    <row r="12" spans="1:10" x14ac:dyDescent="0.4">
      <c r="A12" s="2">
        <v>11</v>
      </c>
      <c r="B12" s="1" t="s">
        <v>37</v>
      </c>
      <c r="C12" s="1" t="s">
        <v>38</v>
      </c>
      <c r="D12" s="1" t="s">
        <v>39</v>
      </c>
      <c r="E12" s="1">
        <v>27</v>
      </c>
      <c r="F12" s="15">
        <v>214198</v>
      </c>
      <c r="G12" s="15">
        <f t="shared" si="0"/>
        <v>5783346</v>
      </c>
      <c r="H12" s="15">
        <f t="shared" si="1"/>
        <v>578334.6</v>
      </c>
      <c r="I12" s="15">
        <f t="shared" si="2"/>
        <v>6361680.5999999996</v>
      </c>
      <c r="J12" s="3" t="s">
        <v>13</v>
      </c>
    </row>
    <row r="13" spans="1:10" x14ac:dyDescent="0.4">
      <c r="A13" s="2">
        <v>12</v>
      </c>
      <c r="B13" s="1" t="s">
        <v>40</v>
      </c>
      <c r="C13" s="1" t="s">
        <v>18</v>
      </c>
      <c r="D13" s="1" t="s">
        <v>41</v>
      </c>
      <c r="E13" s="1">
        <v>31</v>
      </c>
      <c r="F13" s="15">
        <v>13091</v>
      </c>
      <c r="G13" s="15">
        <f t="shared" si="0"/>
        <v>405821</v>
      </c>
      <c r="H13" s="15">
        <f t="shared" si="1"/>
        <v>40582.100000000006</v>
      </c>
      <c r="I13" s="15">
        <f t="shared" si="2"/>
        <v>446403.1</v>
      </c>
      <c r="J13" s="3" t="s">
        <v>13</v>
      </c>
    </row>
    <row r="14" spans="1:10" x14ac:dyDescent="0.4">
      <c r="A14" s="2">
        <v>13</v>
      </c>
      <c r="B14" s="1" t="s">
        <v>42</v>
      </c>
      <c r="C14" s="1" t="s">
        <v>43</v>
      </c>
      <c r="D14" s="1" t="s">
        <v>44</v>
      </c>
      <c r="E14" s="1">
        <v>25</v>
      </c>
      <c r="F14" s="15">
        <v>457452</v>
      </c>
      <c r="G14" s="15">
        <f t="shared" si="0"/>
        <v>11436300</v>
      </c>
      <c r="H14" s="15">
        <f t="shared" si="1"/>
        <v>1143630</v>
      </c>
      <c r="I14" s="15">
        <f t="shared" si="2"/>
        <v>12579930</v>
      </c>
      <c r="J14" s="3" t="s">
        <v>13</v>
      </c>
    </row>
    <row r="15" spans="1:10" x14ac:dyDescent="0.4">
      <c r="A15" s="2">
        <v>14</v>
      </c>
      <c r="B15" s="1" t="s">
        <v>45</v>
      </c>
      <c r="C15" s="1" t="s">
        <v>15</v>
      </c>
      <c r="D15" s="1" t="s">
        <v>46</v>
      </c>
      <c r="E15" s="1">
        <v>48</v>
      </c>
      <c r="F15" s="15">
        <v>296330</v>
      </c>
      <c r="G15" s="15">
        <f t="shared" si="0"/>
        <v>14223840</v>
      </c>
      <c r="H15" s="15">
        <f t="shared" si="1"/>
        <v>1422384</v>
      </c>
      <c r="I15" s="15">
        <f t="shared" si="2"/>
        <v>15646224</v>
      </c>
      <c r="J15" s="3" t="s">
        <v>13</v>
      </c>
    </row>
    <row r="16" spans="1:10" x14ac:dyDescent="0.4">
      <c r="A16" s="2">
        <v>15</v>
      </c>
      <c r="B16" s="1" t="s">
        <v>47</v>
      </c>
      <c r="C16" s="1" t="s">
        <v>23</v>
      </c>
      <c r="D16" s="1" t="s">
        <v>48</v>
      </c>
      <c r="E16" s="1">
        <v>18</v>
      </c>
      <c r="F16" s="15">
        <v>238503</v>
      </c>
      <c r="G16" s="15">
        <f t="shared" si="0"/>
        <v>4293054</v>
      </c>
      <c r="H16" s="15">
        <f t="shared" si="1"/>
        <v>429305.4</v>
      </c>
      <c r="I16" s="15">
        <f t="shared" si="2"/>
        <v>4722359.4000000004</v>
      </c>
      <c r="J16" s="3" t="s">
        <v>13</v>
      </c>
    </row>
    <row r="17" spans="1:10" x14ac:dyDescent="0.4">
      <c r="A17" s="2">
        <v>16</v>
      </c>
      <c r="B17" s="1" t="s">
        <v>49</v>
      </c>
      <c r="C17" s="1" t="s">
        <v>33</v>
      </c>
      <c r="D17" s="1" t="s">
        <v>50</v>
      </c>
      <c r="E17" s="1">
        <v>43</v>
      </c>
      <c r="F17" s="15">
        <v>366065</v>
      </c>
      <c r="G17" s="15">
        <f t="shared" si="0"/>
        <v>15740795</v>
      </c>
      <c r="H17" s="15">
        <f t="shared" si="1"/>
        <v>1574079.5</v>
      </c>
      <c r="I17" s="15">
        <f t="shared" si="2"/>
        <v>17314874.5</v>
      </c>
      <c r="J17" s="3" t="s">
        <v>13</v>
      </c>
    </row>
    <row r="18" spans="1:10" x14ac:dyDescent="0.4">
      <c r="A18" s="2">
        <v>17</v>
      </c>
      <c r="B18" s="1" t="s">
        <v>51</v>
      </c>
      <c r="C18" s="1" t="s">
        <v>52</v>
      </c>
      <c r="D18" s="1" t="s">
        <v>53</v>
      </c>
      <c r="E18" s="1">
        <v>30</v>
      </c>
      <c r="F18" s="15">
        <v>492104</v>
      </c>
      <c r="G18" s="15">
        <f t="shared" si="0"/>
        <v>14763120</v>
      </c>
      <c r="H18" s="15">
        <f t="shared" si="1"/>
        <v>1476312</v>
      </c>
      <c r="I18" s="15">
        <f t="shared" si="2"/>
        <v>16239432</v>
      </c>
      <c r="J18" s="3" t="s">
        <v>13</v>
      </c>
    </row>
    <row r="19" spans="1:10" x14ac:dyDescent="0.4">
      <c r="A19" s="2">
        <v>18</v>
      </c>
      <c r="B19" s="1" t="s">
        <v>54</v>
      </c>
      <c r="C19" s="1" t="s">
        <v>38</v>
      </c>
      <c r="D19" s="1" t="s">
        <v>55</v>
      </c>
      <c r="E19" s="1">
        <v>38</v>
      </c>
      <c r="F19" s="15">
        <v>305903</v>
      </c>
      <c r="G19" s="15">
        <f t="shared" si="0"/>
        <v>11624314</v>
      </c>
      <c r="H19" s="15">
        <f t="shared" si="1"/>
        <v>1162431.4000000001</v>
      </c>
      <c r="I19" s="15">
        <f t="shared" si="2"/>
        <v>12786745.4</v>
      </c>
      <c r="J19" s="3" t="s">
        <v>13</v>
      </c>
    </row>
    <row r="20" spans="1:10" x14ac:dyDescent="0.4">
      <c r="A20" s="2">
        <v>19</v>
      </c>
      <c r="B20" s="1" t="s">
        <v>56</v>
      </c>
      <c r="C20" s="1" t="s">
        <v>11</v>
      </c>
      <c r="D20" s="1" t="s">
        <v>57</v>
      </c>
      <c r="E20" s="1">
        <v>28</v>
      </c>
      <c r="F20" s="15">
        <v>81145</v>
      </c>
      <c r="G20" s="15">
        <f t="shared" si="0"/>
        <v>2272060</v>
      </c>
      <c r="H20" s="15">
        <f t="shared" si="1"/>
        <v>227206</v>
      </c>
      <c r="I20" s="15">
        <f t="shared" si="2"/>
        <v>2499266</v>
      </c>
      <c r="J20" s="3" t="s">
        <v>13</v>
      </c>
    </row>
    <row r="21" spans="1:10" x14ac:dyDescent="0.4">
      <c r="A21" s="2">
        <v>20</v>
      </c>
      <c r="B21" s="1" t="s">
        <v>58</v>
      </c>
      <c r="C21" s="1" t="s">
        <v>52</v>
      </c>
      <c r="D21" s="1" t="s">
        <v>59</v>
      </c>
      <c r="E21" s="1">
        <v>17</v>
      </c>
      <c r="F21" s="15">
        <v>208759</v>
      </c>
      <c r="G21" s="15">
        <f t="shared" si="0"/>
        <v>3548903</v>
      </c>
      <c r="H21" s="15">
        <f t="shared" si="1"/>
        <v>354890.30000000005</v>
      </c>
      <c r="I21" s="15">
        <f t="shared" si="2"/>
        <v>3903793.3</v>
      </c>
      <c r="J21" s="3" t="s">
        <v>13</v>
      </c>
    </row>
    <row r="22" spans="1:10" x14ac:dyDescent="0.4">
      <c r="A22" s="2">
        <v>21</v>
      </c>
      <c r="B22" s="1" t="s">
        <v>60</v>
      </c>
      <c r="C22" s="1" t="s">
        <v>23</v>
      </c>
      <c r="D22" s="1" t="s">
        <v>61</v>
      </c>
      <c r="E22" s="1">
        <v>22</v>
      </c>
      <c r="F22" s="15">
        <v>409103</v>
      </c>
      <c r="G22" s="15">
        <f t="shared" si="0"/>
        <v>9000266</v>
      </c>
      <c r="H22" s="15">
        <f t="shared" si="1"/>
        <v>900026.60000000009</v>
      </c>
      <c r="I22" s="15">
        <f t="shared" si="2"/>
        <v>9900292.5999999996</v>
      </c>
      <c r="J22" s="3" t="s">
        <v>13</v>
      </c>
    </row>
    <row r="23" spans="1:10" x14ac:dyDescent="0.4">
      <c r="A23" s="2">
        <v>22</v>
      </c>
      <c r="B23" s="1" t="s">
        <v>62</v>
      </c>
      <c r="C23" s="1" t="s">
        <v>43</v>
      </c>
      <c r="D23" s="1" t="s">
        <v>44</v>
      </c>
      <c r="E23" s="1">
        <v>27</v>
      </c>
      <c r="F23" s="15">
        <v>142262</v>
      </c>
      <c r="G23" s="15">
        <f t="shared" si="0"/>
        <v>3841074</v>
      </c>
      <c r="H23" s="15">
        <f t="shared" si="1"/>
        <v>384107.4</v>
      </c>
      <c r="I23" s="15">
        <f t="shared" si="2"/>
        <v>4225181.4000000004</v>
      </c>
      <c r="J23" s="3" t="s">
        <v>13</v>
      </c>
    </row>
    <row r="24" spans="1:10" x14ac:dyDescent="0.4">
      <c r="A24" s="2">
        <v>23</v>
      </c>
      <c r="B24" s="1" t="s">
        <v>63</v>
      </c>
      <c r="C24" s="1" t="s">
        <v>23</v>
      </c>
      <c r="D24" s="1" t="s">
        <v>64</v>
      </c>
      <c r="E24" s="1">
        <v>48</v>
      </c>
      <c r="F24" s="15">
        <v>292810</v>
      </c>
      <c r="G24" s="15">
        <f t="shared" si="0"/>
        <v>14054880</v>
      </c>
      <c r="H24" s="15">
        <f t="shared" si="1"/>
        <v>1405488</v>
      </c>
      <c r="I24" s="15">
        <f t="shared" si="2"/>
        <v>15460368</v>
      </c>
      <c r="J24" s="3" t="s">
        <v>13</v>
      </c>
    </row>
    <row r="25" spans="1:10" x14ac:dyDescent="0.4">
      <c r="A25" s="2">
        <v>24</v>
      </c>
      <c r="B25" s="1" t="s">
        <v>65</v>
      </c>
      <c r="C25" s="1" t="s">
        <v>66</v>
      </c>
      <c r="D25" s="1" t="s">
        <v>57</v>
      </c>
      <c r="E25" s="1">
        <v>5</v>
      </c>
      <c r="F25" s="15">
        <v>419591</v>
      </c>
      <c r="G25" s="15">
        <f t="shared" si="0"/>
        <v>2097955</v>
      </c>
      <c r="H25" s="15">
        <f t="shared" si="1"/>
        <v>209795.5</v>
      </c>
      <c r="I25" s="15">
        <f t="shared" si="2"/>
        <v>2307750.5</v>
      </c>
      <c r="J25" s="3" t="s">
        <v>13</v>
      </c>
    </row>
    <row r="26" spans="1:10" x14ac:dyDescent="0.4">
      <c r="A26" s="2">
        <v>25</v>
      </c>
      <c r="B26" s="1" t="s">
        <v>67</v>
      </c>
      <c r="C26" s="1" t="s">
        <v>38</v>
      </c>
      <c r="D26" s="1" t="s">
        <v>68</v>
      </c>
      <c r="E26" s="1">
        <v>13</v>
      </c>
      <c r="F26" s="15">
        <v>449997</v>
      </c>
      <c r="G26" s="15">
        <f t="shared" si="0"/>
        <v>5849961</v>
      </c>
      <c r="H26" s="15">
        <f t="shared" si="1"/>
        <v>584996.1</v>
      </c>
      <c r="I26" s="15">
        <f t="shared" si="2"/>
        <v>6434957.0999999996</v>
      </c>
      <c r="J26" s="3" t="s">
        <v>13</v>
      </c>
    </row>
    <row r="27" spans="1:10" x14ac:dyDescent="0.4">
      <c r="A27" s="2">
        <v>26</v>
      </c>
      <c r="B27" s="1" t="s">
        <v>69</v>
      </c>
      <c r="C27" s="1" t="s">
        <v>66</v>
      </c>
      <c r="D27" s="1" t="s">
        <v>70</v>
      </c>
      <c r="E27" s="1">
        <v>31</v>
      </c>
      <c r="F27" s="15">
        <v>360989</v>
      </c>
      <c r="G27" s="15">
        <f t="shared" si="0"/>
        <v>11190659</v>
      </c>
      <c r="H27" s="15">
        <f t="shared" si="1"/>
        <v>1119065.9000000001</v>
      </c>
      <c r="I27" s="15">
        <f t="shared" si="2"/>
        <v>12309724.9</v>
      </c>
      <c r="J27" s="3" t="s">
        <v>13</v>
      </c>
    </row>
    <row r="28" spans="1:10" x14ac:dyDescent="0.4">
      <c r="A28" s="2">
        <v>27</v>
      </c>
      <c r="B28" s="1" t="s">
        <v>71</v>
      </c>
      <c r="C28" s="1" t="s">
        <v>23</v>
      </c>
      <c r="D28" s="1" t="s">
        <v>34</v>
      </c>
      <c r="E28" s="1">
        <v>17</v>
      </c>
      <c r="F28" s="15">
        <v>412075</v>
      </c>
      <c r="G28" s="15">
        <f t="shared" si="0"/>
        <v>7005275</v>
      </c>
      <c r="H28" s="15">
        <f t="shared" si="1"/>
        <v>700527.5</v>
      </c>
      <c r="I28" s="15">
        <f t="shared" si="2"/>
        <v>7705802.5</v>
      </c>
      <c r="J28" s="3" t="s">
        <v>13</v>
      </c>
    </row>
    <row r="29" spans="1:10" x14ac:dyDescent="0.4">
      <c r="A29" s="2">
        <v>28</v>
      </c>
      <c r="B29" s="1" t="s">
        <v>72</v>
      </c>
      <c r="C29" s="1" t="s">
        <v>18</v>
      </c>
      <c r="D29" s="1" t="s">
        <v>16</v>
      </c>
      <c r="E29" s="1">
        <v>48</v>
      </c>
      <c r="F29" s="15">
        <v>386626</v>
      </c>
      <c r="G29" s="15">
        <f t="shared" si="0"/>
        <v>18558048</v>
      </c>
      <c r="H29" s="15">
        <f t="shared" si="1"/>
        <v>1855804.8</v>
      </c>
      <c r="I29" s="15">
        <f t="shared" si="2"/>
        <v>20413852.800000001</v>
      </c>
      <c r="J29" s="3" t="s">
        <v>13</v>
      </c>
    </row>
    <row r="30" spans="1:10" x14ac:dyDescent="0.4">
      <c r="A30" s="2">
        <v>29</v>
      </c>
      <c r="B30" s="1" t="s">
        <v>73</v>
      </c>
      <c r="C30" s="1" t="s">
        <v>43</v>
      </c>
      <c r="D30" s="1" t="s">
        <v>74</v>
      </c>
      <c r="E30" s="1">
        <v>38</v>
      </c>
      <c r="F30" s="15">
        <v>23462</v>
      </c>
      <c r="G30" s="15">
        <f t="shared" si="0"/>
        <v>891556</v>
      </c>
      <c r="H30" s="15">
        <f t="shared" si="1"/>
        <v>89155.6</v>
      </c>
      <c r="I30" s="15">
        <f t="shared" si="2"/>
        <v>980711.6</v>
      </c>
      <c r="J30" s="3" t="s">
        <v>13</v>
      </c>
    </row>
    <row r="31" spans="1:10" x14ac:dyDescent="0.4">
      <c r="A31" s="2">
        <v>30</v>
      </c>
      <c r="B31" s="1" t="s">
        <v>75</v>
      </c>
      <c r="C31" s="1" t="s">
        <v>18</v>
      </c>
      <c r="D31" s="1" t="s">
        <v>76</v>
      </c>
      <c r="E31" s="1">
        <v>25</v>
      </c>
      <c r="F31" s="15">
        <v>217961</v>
      </c>
      <c r="G31" s="15">
        <f t="shared" si="0"/>
        <v>5449025</v>
      </c>
      <c r="H31" s="15">
        <f t="shared" si="1"/>
        <v>544902.5</v>
      </c>
      <c r="I31" s="15">
        <f t="shared" si="2"/>
        <v>5993927.5</v>
      </c>
      <c r="J31" s="3" t="s">
        <v>13</v>
      </c>
    </row>
    <row r="32" spans="1:10" x14ac:dyDescent="0.4">
      <c r="A32" s="2">
        <v>31</v>
      </c>
      <c r="B32" s="1" t="s">
        <v>77</v>
      </c>
      <c r="C32" s="1" t="s">
        <v>11</v>
      </c>
      <c r="D32" s="1" t="s">
        <v>78</v>
      </c>
      <c r="E32" s="1">
        <v>45</v>
      </c>
      <c r="F32" s="15">
        <v>445458</v>
      </c>
      <c r="G32" s="15">
        <f t="shared" si="0"/>
        <v>20045610</v>
      </c>
      <c r="H32" s="15">
        <f t="shared" si="1"/>
        <v>2004561</v>
      </c>
      <c r="I32" s="15">
        <f t="shared" si="2"/>
        <v>22050171</v>
      </c>
      <c r="J32" s="3" t="s">
        <v>13</v>
      </c>
    </row>
    <row r="33" spans="1:10" x14ac:dyDescent="0.4">
      <c r="A33" s="2">
        <v>32</v>
      </c>
      <c r="B33" s="1" t="s">
        <v>79</v>
      </c>
      <c r="C33" s="1" t="s">
        <v>11</v>
      </c>
      <c r="D33" s="1" t="s">
        <v>34</v>
      </c>
      <c r="E33" s="1">
        <v>50</v>
      </c>
      <c r="F33" s="15">
        <v>168116</v>
      </c>
      <c r="G33" s="15">
        <f t="shared" si="0"/>
        <v>8405800</v>
      </c>
      <c r="H33" s="15">
        <f t="shared" si="1"/>
        <v>840580</v>
      </c>
      <c r="I33" s="15">
        <f t="shared" si="2"/>
        <v>9246380</v>
      </c>
      <c r="J33" s="3" t="s">
        <v>13</v>
      </c>
    </row>
    <row r="34" spans="1:10" x14ac:dyDescent="0.4">
      <c r="A34" s="2">
        <v>33</v>
      </c>
      <c r="B34" s="1" t="s">
        <v>80</v>
      </c>
      <c r="C34" s="1" t="s">
        <v>18</v>
      </c>
      <c r="D34" s="1" t="s">
        <v>81</v>
      </c>
      <c r="E34" s="1">
        <v>3</v>
      </c>
      <c r="F34" s="15">
        <v>192034</v>
      </c>
      <c r="G34" s="15">
        <f t="shared" ref="G34:G65" si="3">E34*F34</f>
        <v>576102</v>
      </c>
      <c r="H34" s="15">
        <f t="shared" ref="H34:H65" si="4">G34*0.1</f>
        <v>57610.200000000004</v>
      </c>
      <c r="I34" s="15">
        <f t="shared" ref="I34:I65" si="5">G34+H34</f>
        <v>633712.19999999995</v>
      </c>
      <c r="J34" s="3" t="s">
        <v>13</v>
      </c>
    </row>
    <row r="35" spans="1:10" x14ac:dyDescent="0.4">
      <c r="A35" s="2">
        <v>34</v>
      </c>
      <c r="B35" s="1" t="s">
        <v>82</v>
      </c>
      <c r="C35" s="1" t="s">
        <v>30</v>
      </c>
      <c r="D35" s="1" t="s">
        <v>83</v>
      </c>
      <c r="E35" s="1">
        <v>33</v>
      </c>
      <c r="F35" s="15">
        <v>349499</v>
      </c>
      <c r="G35" s="15">
        <f t="shared" si="3"/>
        <v>11533467</v>
      </c>
      <c r="H35" s="15">
        <f t="shared" si="4"/>
        <v>1153346.7</v>
      </c>
      <c r="I35" s="15">
        <f t="shared" si="5"/>
        <v>12686813.699999999</v>
      </c>
      <c r="J35" s="3" t="s">
        <v>13</v>
      </c>
    </row>
    <row r="36" spans="1:10" x14ac:dyDescent="0.4">
      <c r="A36" s="2">
        <v>35</v>
      </c>
      <c r="B36" s="1" t="s">
        <v>84</v>
      </c>
      <c r="C36" s="1" t="s">
        <v>33</v>
      </c>
      <c r="D36" s="1" t="s">
        <v>19</v>
      </c>
      <c r="E36" s="1">
        <v>32</v>
      </c>
      <c r="F36" s="15">
        <v>65332</v>
      </c>
      <c r="G36" s="15">
        <f t="shared" si="3"/>
        <v>2090624</v>
      </c>
      <c r="H36" s="15">
        <f t="shared" si="4"/>
        <v>209062.40000000002</v>
      </c>
      <c r="I36" s="15">
        <f t="shared" si="5"/>
        <v>2299686.4</v>
      </c>
      <c r="J36" s="3" t="s">
        <v>13</v>
      </c>
    </row>
    <row r="37" spans="1:10" x14ac:dyDescent="0.4">
      <c r="A37" s="2">
        <v>36</v>
      </c>
      <c r="B37" s="1" t="s">
        <v>85</v>
      </c>
      <c r="C37" s="1" t="s">
        <v>23</v>
      </c>
      <c r="D37" s="1" t="s">
        <v>28</v>
      </c>
      <c r="E37" s="1">
        <v>10</v>
      </c>
      <c r="F37" s="15">
        <v>238320</v>
      </c>
      <c r="G37" s="15">
        <f t="shared" si="3"/>
        <v>2383200</v>
      </c>
      <c r="H37" s="15">
        <f t="shared" si="4"/>
        <v>238320</v>
      </c>
      <c r="I37" s="15">
        <f t="shared" si="5"/>
        <v>2621520</v>
      </c>
      <c r="J37" s="3" t="s">
        <v>13</v>
      </c>
    </row>
    <row r="38" spans="1:10" x14ac:dyDescent="0.4">
      <c r="A38" s="2">
        <v>37</v>
      </c>
      <c r="B38" s="1" t="s">
        <v>86</v>
      </c>
      <c r="C38" s="1" t="s">
        <v>43</v>
      </c>
      <c r="D38" s="1" t="s">
        <v>87</v>
      </c>
      <c r="E38" s="1">
        <v>35</v>
      </c>
      <c r="F38" s="15">
        <v>416135</v>
      </c>
      <c r="G38" s="15">
        <f t="shared" si="3"/>
        <v>14564725</v>
      </c>
      <c r="H38" s="15">
        <f t="shared" si="4"/>
        <v>1456472.5</v>
      </c>
      <c r="I38" s="15">
        <f t="shared" si="5"/>
        <v>16021197.5</v>
      </c>
      <c r="J38" s="3" t="s">
        <v>13</v>
      </c>
    </row>
    <row r="39" spans="1:10" x14ac:dyDescent="0.4">
      <c r="A39" s="2">
        <v>38</v>
      </c>
      <c r="B39" s="1" t="s">
        <v>88</v>
      </c>
      <c r="C39" s="1" t="s">
        <v>33</v>
      </c>
      <c r="D39" s="1" t="s">
        <v>19</v>
      </c>
      <c r="E39" s="1">
        <v>47</v>
      </c>
      <c r="F39" s="15">
        <v>320627</v>
      </c>
      <c r="G39" s="15">
        <f t="shared" si="3"/>
        <v>15069469</v>
      </c>
      <c r="H39" s="15">
        <f t="shared" si="4"/>
        <v>1506946.9000000001</v>
      </c>
      <c r="I39" s="15">
        <f t="shared" si="5"/>
        <v>16576415.9</v>
      </c>
      <c r="J39" s="3" t="s">
        <v>13</v>
      </c>
    </row>
    <row r="40" spans="1:10" x14ac:dyDescent="0.4">
      <c r="A40" s="2">
        <v>39</v>
      </c>
      <c r="B40" s="1" t="s">
        <v>89</v>
      </c>
      <c r="C40" s="1" t="s">
        <v>66</v>
      </c>
      <c r="D40" s="1" t="s">
        <v>53</v>
      </c>
      <c r="E40" s="1">
        <v>6</v>
      </c>
      <c r="F40" s="15">
        <v>156238</v>
      </c>
      <c r="G40" s="15">
        <f t="shared" si="3"/>
        <v>937428</v>
      </c>
      <c r="H40" s="15">
        <f t="shared" si="4"/>
        <v>93742.8</v>
      </c>
      <c r="I40" s="15">
        <f t="shared" si="5"/>
        <v>1031170.8</v>
      </c>
      <c r="J40" s="3" t="s">
        <v>13</v>
      </c>
    </row>
    <row r="41" spans="1:10" x14ac:dyDescent="0.4">
      <c r="A41" s="2">
        <v>40</v>
      </c>
      <c r="B41" s="1" t="s">
        <v>90</v>
      </c>
      <c r="C41" s="1" t="s">
        <v>66</v>
      </c>
      <c r="D41" s="1" t="s">
        <v>44</v>
      </c>
      <c r="E41" s="1">
        <v>30</v>
      </c>
      <c r="F41" s="15">
        <v>308765</v>
      </c>
      <c r="G41" s="15">
        <f t="shared" si="3"/>
        <v>9262950</v>
      </c>
      <c r="H41" s="15">
        <f t="shared" si="4"/>
        <v>926295</v>
      </c>
      <c r="I41" s="15">
        <f t="shared" si="5"/>
        <v>10189245</v>
      </c>
      <c r="J41" s="3" t="s">
        <v>13</v>
      </c>
    </row>
    <row r="42" spans="1:10" x14ac:dyDescent="0.4">
      <c r="A42" s="2">
        <v>41</v>
      </c>
      <c r="B42" s="1" t="s">
        <v>91</v>
      </c>
      <c r="C42" s="1" t="s">
        <v>30</v>
      </c>
      <c r="D42" s="1" t="s">
        <v>64</v>
      </c>
      <c r="E42" s="1">
        <v>32</v>
      </c>
      <c r="F42" s="15">
        <v>456144</v>
      </c>
      <c r="G42" s="15">
        <f t="shared" si="3"/>
        <v>14596608</v>
      </c>
      <c r="H42" s="15">
        <f t="shared" si="4"/>
        <v>1459660.8</v>
      </c>
      <c r="I42" s="15">
        <f t="shared" si="5"/>
        <v>16056268.800000001</v>
      </c>
      <c r="J42" s="3" t="s">
        <v>13</v>
      </c>
    </row>
    <row r="43" spans="1:10" x14ac:dyDescent="0.4">
      <c r="A43" s="2">
        <v>42</v>
      </c>
      <c r="B43" s="1" t="s">
        <v>92</v>
      </c>
      <c r="C43" s="1" t="s">
        <v>23</v>
      </c>
      <c r="D43" s="1" t="s">
        <v>39</v>
      </c>
      <c r="E43" s="1">
        <v>23</v>
      </c>
      <c r="F43" s="15">
        <v>428293</v>
      </c>
      <c r="G43" s="15">
        <f t="shared" si="3"/>
        <v>9850739</v>
      </c>
      <c r="H43" s="15">
        <f t="shared" si="4"/>
        <v>985073.9</v>
      </c>
      <c r="I43" s="15">
        <f t="shared" si="5"/>
        <v>10835812.9</v>
      </c>
      <c r="J43" s="3" t="s">
        <v>13</v>
      </c>
    </row>
    <row r="44" spans="1:10" x14ac:dyDescent="0.4">
      <c r="A44" s="2">
        <v>43</v>
      </c>
      <c r="B44" s="1" t="s">
        <v>93</v>
      </c>
      <c r="C44" s="1" t="s">
        <v>43</v>
      </c>
      <c r="D44" s="1" t="s">
        <v>94</v>
      </c>
      <c r="E44" s="1">
        <v>39</v>
      </c>
      <c r="F44" s="15">
        <v>377622</v>
      </c>
      <c r="G44" s="15">
        <f t="shared" si="3"/>
        <v>14727258</v>
      </c>
      <c r="H44" s="15">
        <f t="shared" si="4"/>
        <v>1472725.8</v>
      </c>
      <c r="I44" s="15">
        <f t="shared" si="5"/>
        <v>16199983.800000001</v>
      </c>
      <c r="J44" s="3" t="s">
        <v>13</v>
      </c>
    </row>
    <row r="45" spans="1:10" x14ac:dyDescent="0.4">
      <c r="A45" s="2">
        <v>44</v>
      </c>
      <c r="B45" s="1" t="s">
        <v>95</v>
      </c>
      <c r="C45" s="1" t="s">
        <v>15</v>
      </c>
      <c r="D45" s="1" t="s">
        <v>96</v>
      </c>
      <c r="E45" s="1">
        <v>34</v>
      </c>
      <c r="F45" s="15">
        <v>110168</v>
      </c>
      <c r="G45" s="15">
        <f t="shared" si="3"/>
        <v>3745712</v>
      </c>
      <c r="H45" s="15">
        <f t="shared" si="4"/>
        <v>374571.2</v>
      </c>
      <c r="I45" s="15">
        <f t="shared" si="5"/>
        <v>4120283.2</v>
      </c>
      <c r="J45" s="3" t="s">
        <v>13</v>
      </c>
    </row>
    <row r="46" spans="1:10" x14ac:dyDescent="0.4">
      <c r="A46" s="2">
        <v>45</v>
      </c>
      <c r="B46" s="1" t="s">
        <v>97</v>
      </c>
      <c r="C46" s="1" t="s">
        <v>33</v>
      </c>
      <c r="D46" s="1" t="s">
        <v>26</v>
      </c>
      <c r="E46" s="1">
        <v>36</v>
      </c>
      <c r="F46" s="15">
        <v>407496</v>
      </c>
      <c r="G46" s="15">
        <f t="shared" si="3"/>
        <v>14669856</v>
      </c>
      <c r="H46" s="15">
        <f t="shared" si="4"/>
        <v>1466985.6</v>
      </c>
      <c r="I46" s="15">
        <f t="shared" si="5"/>
        <v>16136841.6</v>
      </c>
      <c r="J46" s="3" t="s">
        <v>13</v>
      </c>
    </row>
    <row r="47" spans="1:10" x14ac:dyDescent="0.4">
      <c r="A47" s="2">
        <v>46</v>
      </c>
      <c r="B47" s="1" t="s">
        <v>98</v>
      </c>
      <c r="C47" s="1" t="s">
        <v>23</v>
      </c>
      <c r="D47" s="1" t="s">
        <v>21</v>
      </c>
      <c r="E47" s="1">
        <v>2</v>
      </c>
      <c r="F47" s="15">
        <v>58786</v>
      </c>
      <c r="G47" s="15">
        <f t="shared" si="3"/>
        <v>117572</v>
      </c>
      <c r="H47" s="15">
        <f t="shared" si="4"/>
        <v>11757.2</v>
      </c>
      <c r="I47" s="15">
        <f t="shared" si="5"/>
        <v>129329.2</v>
      </c>
      <c r="J47" s="3" t="s">
        <v>13</v>
      </c>
    </row>
    <row r="48" spans="1:10" x14ac:dyDescent="0.4">
      <c r="A48" s="2">
        <v>47</v>
      </c>
      <c r="B48" s="1" t="s">
        <v>99</v>
      </c>
      <c r="C48" s="1" t="s">
        <v>33</v>
      </c>
      <c r="D48" s="1" t="s">
        <v>34</v>
      </c>
      <c r="E48" s="1">
        <v>16</v>
      </c>
      <c r="F48" s="15">
        <v>170540</v>
      </c>
      <c r="G48" s="15">
        <f t="shared" si="3"/>
        <v>2728640</v>
      </c>
      <c r="H48" s="15">
        <f t="shared" si="4"/>
        <v>272864</v>
      </c>
      <c r="I48" s="15">
        <f t="shared" si="5"/>
        <v>3001504</v>
      </c>
      <c r="J48" s="3" t="s">
        <v>13</v>
      </c>
    </row>
    <row r="49" spans="1:10" x14ac:dyDescent="0.4">
      <c r="A49" s="2">
        <v>48</v>
      </c>
      <c r="B49" s="1" t="s">
        <v>100</v>
      </c>
      <c r="C49" s="1" t="s">
        <v>23</v>
      </c>
      <c r="D49" s="1" t="s">
        <v>101</v>
      </c>
      <c r="E49" s="1">
        <v>34</v>
      </c>
      <c r="F49" s="15">
        <v>190227</v>
      </c>
      <c r="G49" s="15">
        <f t="shared" si="3"/>
        <v>6467718</v>
      </c>
      <c r="H49" s="15">
        <f t="shared" si="4"/>
        <v>646771.80000000005</v>
      </c>
      <c r="I49" s="15">
        <f t="shared" si="5"/>
        <v>7114489.7999999998</v>
      </c>
      <c r="J49" s="3" t="s">
        <v>13</v>
      </c>
    </row>
    <row r="50" spans="1:10" x14ac:dyDescent="0.4">
      <c r="A50" s="2">
        <v>49</v>
      </c>
      <c r="B50" s="1" t="s">
        <v>102</v>
      </c>
      <c r="C50" s="1" t="s">
        <v>30</v>
      </c>
      <c r="D50" s="1" t="s">
        <v>34</v>
      </c>
      <c r="E50" s="1">
        <v>30</v>
      </c>
      <c r="F50" s="15">
        <v>152038</v>
      </c>
      <c r="G50" s="15">
        <f t="shared" si="3"/>
        <v>4561140</v>
      </c>
      <c r="H50" s="15">
        <f t="shared" si="4"/>
        <v>456114</v>
      </c>
      <c r="I50" s="15">
        <f t="shared" si="5"/>
        <v>5017254</v>
      </c>
      <c r="J50" s="3" t="s">
        <v>13</v>
      </c>
    </row>
    <row r="51" spans="1:10" x14ac:dyDescent="0.4">
      <c r="A51" s="2">
        <v>50</v>
      </c>
      <c r="B51" s="1" t="s">
        <v>103</v>
      </c>
      <c r="C51" s="1" t="s">
        <v>66</v>
      </c>
      <c r="D51" s="1" t="s">
        <v>104</v>
      </c>
      <c r="E51" s="1">
        <v>47</v>
      </c>
      <c r="F51" s="15">
        <v>110969</v>
      </c>
      <c r="G51" s="15">
        <f t="shared" si="3"/>
        <v>5215543</v>
      </c>
      <c r="H51" s="15">
        <f t="shared" si="4"/>
        <v>521554.30000000005</v>
      </c>
      <c r="I51" s="15">
        <f t="shared" si="5"/>
        <v>5737097.2999999998</v>
      </c>
      <c r="J51" s="3" t="s">
        <v>13</v>
      </c>
    </row>
    <row r="52" spans="1:10" x14ac:dyDescent="0.4">
      <c r="A52" s="2">
        <v>51</v>
      </c>
      <c r="B52" s="1" t="s">
        <v>105</v>
      </c>
      <c r="C52" s="1" t="s">
        <v>15</v>
      </c>
      <c r="D52" s="1" t="s">
        <v>44</v>
      </c>
      <c r="E52" s="1">
        <v>45</v>
      </c>
      <c r="F52" s="15">
        <v>107071</v>
      </c>
      <c r="G52" s="15">
        <f t="shared" si="3"/>
        <v>4818195</v>
      </c>
      <c r="H52" s="15">
        <f t="shared" si="4"/>
        <v>481819.5</v>
      </c>
      <c r="I52" s="15">
        <f t="shared" si="5"/>
        <v>5300014.5</v>
      </c>
      <c r="J52" s="3" t="s">
        <v>13</v>
      </c>
    </row>
    <row r="53" spans="1:10" x14ac:dyDescent="0.4">
      <c r="A53" s="2">
        <v>52</v>
      </c>
      <c r="B53" s="1" t="s">
        <v>106</v>
      </c>
      <c r="C53" s="1" t="s">
        <v>23</v>
      </c>
      <c r="D53" s="1" t="s">
        <v>107</v>
      </c>
      <c r="E53" s="1">
        <v>47</v>
      </c>
      <c r="F53" s="15">
        <v>319113</v>
      </c>
      <c r="G53" s="15">
        <f t="shared" si="3"/>
        <v>14998311</v>
      </c>
      <c r="H53" s="15">
        <f t="shared" si="4"/>
        <v>1499831.1</v>
      </c>
      <c r="I53" s="15">
        <f t="shared" si="5"/>
        <v>16498142.1</v>
      </c>
      <c r="J53" s="3" t="s">
        <v>13</v>
      </c>
    </row>
    <row r="54" spans="1:10" x14ac:dyDescent="0.4">
      <c r="A54" s="2">
        <v>53</v>
      </c>
      <c r="B54" s="1" t="s">
        <v>108</v>
      </c>
      <c r="C54" s="1" t="s">
        <v>18</v>
      </c>
      <c r="D54" s="1" t="s">
        <v>109</v>
      </c>
      <c r="E54" s="1">
        <v>7</v>
      </c>
      <c r="F54" s="15">
        <v>446537</v>
      </c>
      <c r="G54" s="15">
        <f t="shared" si="3"/>
        <v>3125759</v>
      </c>
      <c r="H54" s="15">
        <f t="shared" si="4"/>
        <v>312575.90000000002</v>
      </c>
      <c r="I54" s="15">
        <f t="shared" si="5"/>
        <v>3438334.9</v>
      </c>
      <c r="J54" s="3" t="s">
        <v>13</v>
      </c>
    </row>
    <row r="55" spans="1:10" x14ac:dyDescent="0.4">
      <c r="A55" s="2">
        <v>54</v>
      </c>
      <c r="B55" s="1" t="s">
        <v>110</v>
      </c>
      <c r="C55" s="1" t="s">
        <v>66</v>
      </c>
      <c r="D55" s="1" t="s">
        <v>111</v>
      </c>
      <c r="E55" s="1">
        <v>12</v>
      </c>
      <c r="F55" s="15">
        <v>168475</v>
      </c>
      <c r="G55" s="15">
        <f t="shared" si="3"/>
        <v>2021700</v>
      </c>
      <c r="H55" s="15">
        <f t="shared" si="4"/>
        <v>202170</v>
      </c>
      <c r="I55" s="15">
        <f t="shared" si="5"/>
        <v>2223870</v>
      </c>
      <c r="J55" s="3" t="s">
        <v>13</v>
      </c>
    </row>
    <row r="56" spans="1:10" x14ac:dyDescent="0.4">
      <c r="A56" s="2">
        <v>55</v>
      </c>
      <c r="B56" s="1" t="s">
        <v>54</v>
      </c>
      <c r="C56" s="1" t="s">
        <v>52</v>
      </c>
      <c r="D56" s="1" t="s">
        <v>107</v>
      </c>
      <c r="E56" s="1">
        <v>3</v>
      </c>
      <c r="F56" s="15">
        <v>38587</v>
      </c>
      <c r="G56" s="15">
        <f t="shared" si="3"/>
        <v>115761</v>
      </c>
      <c r="H56" s="15">
        <f t="shared" si="4"/>
        <v>11576.1</v>
      </c>
      <c r="I56" s="15">
        <f t="shared" si="5"/>
        <v>127337.1</v>
      </c>
      <c r="J56" s="3" t="s">
        <v>13</v>
      </c>
    </row>
    <row r="57" spans="1:10" x14ac:dyDescent="0.4">
      <c r="A57" s="2">
        <v>56</v>
      </c>
      <c r="B57" s="1" t="s">
        <v>112</v>
      </c>
      <c r="C57" s="1" t="s">
        <v>52</v>
      </c>
      <c r="D57" s="1" t="s">
        <v>113</v>
      </c>
      <c r="E57" s="1">
        <v>49</v>
      </c>
      <c r="F57" s="15">
        <v>267361</v>
      </c>
      <c r="G57" s="15">
        <f t="shared" si="3"/>
        <v>13100689</v>
      </c>
      <c r="H57" s="15">
        <f t="shared" si="4"/>
        <v>1310068.9000000001</v>
      </c>
      <c r="I57" s="15">
        <f t="shared" si="5"/>
        <v>14410757.9</v>
      </c>
      <c r="J57" s="3" t="s">
        <v>13</v>
      </c>
    </row>
    <row r="58" spans="1:10" x14ac:dyDescent="0.4">
      <c r="A58" s="2">
        <v>57</v>
      </c>
      <c r="B58" s="1" t="s">
        <v>114</v>
      </c>
      <c r="C58" s="1" t="s">
        <v>18</v>
      </c>
      <c r="D58" s="1" t="s">
        <v>109</v>
      </c>
      <c r="E58" s="1">
        <v>31</v>
      </c>
      <c r="F58" s="15">
        <v>260984</v>
      </c>
      <c r="G58" s="15">
        <f t="shared" si="3"/>
        <v>8090504</v>
      </c>
      <c r="H58" s="15">
        <f t="shared" si="4"/>
        <v>809050.4</v>
      </c>
      <c r="I58" s="15">
        <f t="shared" si="5"/>
        <v>8899554.4000000004</v>
      </c>
      <c r="J58" s="3" t="s">
        <v>13</v>
      </c>
    </row>
    <row r="59" spans="1:10" x14ac:dyDescent="0.4">
      <c r="A59" s="2">
        <v>58</v>
      </c>
      <c r="B59" s="1" t="s">
        <v>115</v>
      </c>
      <c r="C59" s="1" t="s">
        <v>52</v>
      </c>
      <c r="D59" s="1" t="s">
        <v>59</v>
      </c>
      <c r="E59" s="1">
        <v>17</v>
      </c>
      <c r="F59" s="15">
        <v>461791</v>
      </c>
      <c r="G59" s="15">
        <f t="shared" si="3"/>
        <v>7850447</v>
      </c>
      <c r="H59" s="15">
        <f t="shared" si="4"/>
        <v>785044.70000000007</v>
      </c>
      <c r="I59" s="15">
        <f t="shared" si="5"/>
        <v>8635491.6999999993</v>
      </c>
      <c r="J59" s="3" t="s">
        <v>13</v>
      </c>
    </row>
    <row r="60" spans="1:10" x14ac:dyDescent="0.4">
      <c r="A60" s="2">
        <v>59</v>
      </c>
      <c r="B60" s="1" t="s">
        <v>116</v>
      </c>
      <c r="C60" s="1" t="s">
        <v>11</v>
      </c>
      <c r="D60" s="1" t="s">
        <v>55</v>
      </c>
      <c r="E60" s="1">
        <v>32</v>
      </c>
      <c r="F60" s="15">
        <v>48840</v>
      </c>
      <c r="G60" s="15">
        <f t="shared" si="3"/>
        <v>1562880</v>
      </c>
      <c r="H60" s="15">
        <f t="shared" si="4"/>
        <v>156288</v>
      </c>
      <c r="I60" s="15">
        <f t="shared" si="5"/>
        <v>1719168</v>
      </c>
      <c r="J60" s="3" t="s">
        <v>13</v>
      </c>
    </row>
    <row r="61" spans="1:10" x14ac:dyDescent="0.4">
      <c r="A61" s="2">
        <v>60</v>
      </c>
      <c r="B61" s="1" t="s">
        <v>117</v>
      </c>
      <c r="C61" s="1" t="s">
        <v>52</v>
      </c>
      <c r="D61" s="1" t="s">
        <v>118</v>
      </c>
      <c r="E61" s="1">
        <v>37</v>
      </c>
      <c r="F61" s="15">
        <v>169297</v>
      </c>
      <c r="G61" s="15">
        <f t="shared" si="3"/>
        <v>6263989</v>
      </c>
      <c r="H61" s="15">
        <f t="shared" si="4"/>
        <v>626398.9</v>
      </c>
      <c r="I61" s="15">
        <f t="shared" si="5"/>
        <v>6890387.9000000004</v>
      </c>
      <c r="J61" s="3" t="s">
        <v>13</v>
      </c>
    </row>
    <row r="62" spans="1:10" x14ac:dyDescent="0.4">
      <c r="A62" s="2">
        <v>61</v>
      </c>
      <c r="B62" s="1" t="s">
        <v>119</v>
      </c>
      <c r="C62" s="1" t="s">
        <v>11</v>
      </c>
      <c r="D62" s="1" t="s">
        <v>101</v>
      </c>
      <c r="E62" s="1">
        <v>49</v>
      </c>
      <c r="F62" s="15">
        <v>228195</v>
      </c>
      <c r="G62" s="15">
        <f t="shared" si="3"/>
        <v>11181555</v>
      </c>
      <c r="H62" s="15">
        <f t="shared" si="4"/>
        <v>1118155.5</v>
      </c>
      <c r="I62" s="15">
        <f t="shared" si="5"/>
        <v>12299710.5</v>
      </c>
      <c r="J62" s="3" t="s">
        <v>13</v>
      </c>
    </row>
    <row r="63" spans="1:10" x14ac:dyDescent="0.4">
      <c r="A63" s="2">
        <v>62</v>
      </c>
      <c r="B63" s="1" t="s">
        <v>120</v>
      </c>
      <c r="C63" s="1" t="s">
        <v>15</v>
      </c>
      <c r="D63" s="1" t="s">
        <v>41</v>
      </c>
      <c r="E63" s="1">
        <v>29</v>
      </c>
      <c r="F63" s="15">
        <v>486317</v>
      </c>
      <c r="G63" s="15">
        <f t="shared" si="3"/>
        <v>14103193</v>
      </c>
      <c r="H63" s="15">
        <f t="shared" si="4"/>
        <v>1410319.3</v>
      </c>
      <c r="I63" s="15">
        <f t="shared" si="5"/>
        <v>15513512.300000001</v>
      </c>
      <c r="J63" s="3" t="s">
        <v>13</v>
      </c>
    </row>
    <row r="64" spans="1:10" x14ac:dyDescent="0.4">
      <c r="A64" s="2">
        <v>63</v>
      </c>
      <c r="B64" s="1" t="s">
        <v>121</v>
      </c>
      <c r="C64" s="1" t="s">
        <v>18</v>
      </c>
      <c r="D64" s="1" t="s">
        <v>122</v>
      </c>
      <c r="E64" s="1">
        <v>20</v>
      </c>
      <c r="F64" s="15">
        <v>308125</v>
      </c>
      <c r="G64" s="15">
        <f t="shared" si="3"/>
        <v>6162500</v>
      </c>
      <c r="H64" s="15">
        <f t="shared" si="4"/>
        <v>616250</v>
      </c>
      <c r="I64" s="15">
        <f t="shared" si="5"/>
        <v>6778750</v>
      </c>
      <c r="J64" s="3" t="s">
        <v>13</v>
      </c>
    </row>
    <row r="65" spans="1:10" x14ac:dyDescent="0.4">
      <c r="A65" s="2">
        <v>64</v>
      </c>
      <c r="B65" s="1" t="s">
        <v>123</v>
      </c>
      <c r="C65" s="1" t="s">
        <v>18</v>
      </c>
      <c r="D65" s="1" t="s">
        <v>46</v>
      </c>
      <c r="E65" s="1">
        <v>7</v>
      </c>
      <c r="F65" s="15">
        <v>409893</v>
      </c>
      <c r="G65" s="15">
        <f t="shared" si="3"/>
        <v>2869251</v>
      </c>
      <c r="H65" s="15">
        <f t="shared" si="4"/>
        <v>286925.10000000003</v>
      </c>
      <c r="I65" s="15">
        <f t="shared" si="5"/>
        <v>3156176.1</v>
      </c>
      <c r="J65" s="3" t="s">
        <v>13</v>
      </c>
    </row>
    <row r="66" spans="1:10" x14ac:dyDescent="0.4">
      <c r="A66" s="2">
        <v>65</v>
      </c>
      <c r="B66" s="1" t="s">
        <v>124</v>
      </c>
      <c r="C66" s="1" t="s">
        <v>43</v>
      </c>
      <c r="D66" s="1" t="s">
        <v>125</v>
      </c>
      <c r="E66" s="1">
        <v>6</v>
      </c>
      <c r="F66" s="15">
        <v>92343</v>
      </c>
      <c r="G66" s="15">
        <f t="shared" ref="G66:G97" si="6">E66*F66</f>
        <v>554058</v>
      </c>
      <c r="H66" s="15">
        <f t="shared" ref="H66:H97" si="7">G66*0.1</f>
        <v>55405.8</v>
      </c>
      <c r="I66" s="15">
        <f t="shared" ref="I66:I97" si="8">G66+H66</f>
        <v>609463.80000000005</v>
      </c>
      <c r="J66" s="3" t="s">
        <v>13</v>
      </c>
    </row>
    <row r="67" spans="1:10" x14ac:dyDescent="0.4">
      <c r="A67" s="2">
        <v>66</v>
      </c>
      <c r="B67" s="1" t="s">
        <v>126</v>
      </c>
      <c r="C67" s="1" t="s">
        <v>15</v>
      </c>
      <c r="D67" s="1" t="s">
        <v>83</v>
      </c>
      <c r="E67" s="1">
        <v>11</v>
      </c>
      <c r="F67" s="15">
        <v>11402</v>
      </c>
      <c r="G67" s="15">
        <f t="shared" si="6"/>
        <v>125422</v>
      </c>
      <c r="H67" s="15">
        <f t="shared" si="7"/>
        <v>12542.2</v>
      </c>
      <c r="I67" s="15">
        <f t="shared" si="8"/>
        <v>137964.20000000001</v>
      </c>
      <c r="J67" s="3" t="s">
        <v>13</v>
      </c>
    </row>
    <row r="68" spans="1:10" x14ac:dyDescent="0.4">
      <c r="A68" s="2">
        <v>67</v>
      </c>
      <c r="B68" s="1" t="s">
        <v>127</v>
      </c>
      <c r="C68" s="1" t="s">
        <v>18</v>
      </c>
      <c r="D68" s="1" t="s">
        <v>128</v>
      </c>
      <c r="E68" s="1">
        <v>19</v>
      </c>
      <c r="F68" s="15">
        <v>27112</v>
      </c>
      <c r="G68" s="15">
        <f t="shared" si="6"/>
        <v>515128</v>
      </c>
      <c r="H68" s="15">
        <f t="shared" si="7"/>
        <v>51512.800000000003</v>
      </c>
      <c r="I68" s="15">
        <f t="shared" si="8"/>
        <v>566640.80000000005</v>
      </c>
      <c r="J68" s="3" t="s">
        <v>13</v>
      </c>
    </row>
    <row r="69" spans="1:10" x14ac:dyDescent="0.4">
      <c r="A69" s="2">
        <v>68</v>
      </c>
      <c r="B69" s="1" t="s">
        <v>129</v>
      </c>
      <c r="C69" s="1" t="s">
        <v>43</v>
      </c>
      <c r="D69" s="1" t="s">
        <v>34</v>
      </c>
      <c r="E69" s="1">
        <v>30</v>
      </c>
      <c r="F69" s="15">
        <v>47318</v>
      </c>
      <c r="G69" s="15">
        <f t="shared" si="6"/>
        <v>1419540</v>
      </c>
      <c r="H69" s="15">
        <f t="shared" si="7"/>
        <v>141954</v>
      </c>
      <c r="I69" s="15">
        <f t="shared" si="8"/>
        <v>1561494</v>
      </c>
      <c r="J69" s="3" t="s">
        <v>13</v>
      </c>
    </row>
    <row r="70" spans="1:10" x14ac:dyDescent="0.4">
      <c r="A70" s="2">
        <v>69</v>
      </c>
      <c r="B70" s="1" t="s">
        <v>130</v>
      </c>
      <c r="C70" s="1" t="s">
        <v>43</v>
      </c>
      <c r="D70" s="1" t="s">
        <v>81</v>
      </c>
      <c r="E70" s="1">
        <v>41</v>
      </c>
      <c r="F70" s="15">
        <v>319219</v>
      </c>
      <c r="G70" s="15">
        <f t="shared" si="6"/>
        <v>13087979</v>
      </c>
      <c r="H70" s="15">
        <f t="shared" si="7"/>
        <v>1308797.9000000001</v>
      </c>
      <c r="I70" s="15">
        <f t="shared" si="8"/>
        <v>14396776.9</v>
      </c>
      <c r="J70" s="3" t="s">
        <v>13</v>
      </c>
    </row>
    <row r="71" spans="1:10" x14ac:dyDescent="0.4">
      <c r="A71" s="2">
        <v>70</v>
      </c>
      <c r="B71" s="1" t="s">
        <v>131</v>
      </c>
      <c r="C71" s="1" t="s">
        <v>33</v>
      </c>
      <c r="D71" s="1" t="s">
        <v>104</v>
      </c>
      <c r="E71" s="1">
        <v>35</v>
      </c>
      <c r="F71" s="15">
        <v>127864</v>
      </c>
      <c r="G71" s="15">
        <f t="shared" si="6"/>
        <v>4475240</v>
      </c>
      <c r="H71" s="15">
        <f t="shared" si="7"/>
        <v>447524</v>
      </c>
      <c r="I71" s="15">
        <f t="shared" si="8"/>
        <v>4922764</v>
      </c>
      <c r="J71" s="3" t="s">
        <v>13</v>
      </c>
    </row>
    <row r="72" spans="1:10" x14ac:dyDescent="0.4">
      <c r="A72" s="2">
        <v>71</v>
      </c>
      <c r="B72" s="1" t="s">
        <v>132</v>
      </c>
      <c r="C72" s="1" t="s">
        <v>43</v>
      </c>
      <c r="D72" s="1" t="s">
        <v>19</v>
      </c>
      <c r="E72" s="1">
        <v>10</v>
      </c>
      <c r="F72" s="15">
        <v>47439</v>
      </c>
      <c r="G72" s="15">
        <f t="shared" si="6"/>
        <v>474390</v>
      </c>
      <c r="H72" s="15">
        <f t="shared" si="7"/>
        <v>47439</v>
      </c>
      <c r="I72" s="15">
        <f t="shared" si="8"/>
        <v>521829</v>
      </c>
      <c r="J72" s="3" t="s">
        <v>13</v>
      </c>
    </row>
    <row r="73" spans="1:10" x14ac:dyDescent="0.4">
      <c r="A73" s="2">
        <v>72</v>
      </c>
      <c r="B73" s="1" t="s">
        <v>133</v>
      </c>
      <c r="C73" s="1" t="s">
        <v>43</v>
      </c>
      <c r="D73" s="1" t="s">
        <v>16</v>
      </c>
      <c r="E73" s="1">
        <v>48</v>
      </c>
      <c r="F73" s="15">
        <v>442139</v>
      </c>
      <c r="G73" s="15">
        <f t="shared" si="6"/>
        <v>21222672</v>
      </c>
      <c r="H73" s="15">
        <f t="shared" si="7"/>
        <v>2122267.2000000002</v>
      </c>
      <c r="I73" s="15">
        <f t="shared" si="8"/>
        <v>23344939.199999999</v>
      </c>
      <c r="J73" s="3" t="s">
        <v>13</v>
      </c>
    </row>
    <row r="74" spans="1:10" x14ac:dyDescent="0.4">
      <c r="A74" s="2">
        <v>73</v>
      </c>
      <c r="B74" s="1" t="s">
        <v>134</v>
      </c>
      <c r="C74" s="1" t="s">
        <v>23</v>
      </c>
      <c r="D74" s="1" t="s">
        <v>104</v>
      </c>
      <c r="E74" s="1">
        <v>30</v>
      </c>
      <c r="F74" s="15">
        <v>371065</v>
      </c>
      <c r="G74" s="15">
        <f t="shared" si="6"/>
        <v>11131950</v>
      </c>
      <c r="H74" s="15">
        <f t="shared" si="7"/>
        <v>1113195</v>
      </c>
      <c r="I74" s="15">
        <f t="shared" si="8"/>
        <v>12245145</v>
      </c>
      <c r="J74" s="3" t="s">
        <v>13</v>
      </c>
    </row>
    <row r="75" spans="1:10" x14ac:dyDescent="0.4">
      <c r="A75" s="2">
        <v>74</v>
      </c>
      <c r="B75" s="1" t="s">
        <v>135</v>
      </c>
      <c r="C75" s="1" t="s">
        <v>43</v>
      </c>
      <c r="D75" s="1" t="s">
        <v>136</v>
      </c>
      <c r="E75" s="1">
        <v>35</v>
      </c>
      <c r="F75" s="15">
        <v>268890</v>
      </c>
      <c r="G75" s="15">
        <f t="shared" si="6"/>
        <v>9411150</v>
      </c>
      <c r="H75" s="15">
        <f t="shared" si="7"/>
        <v>941115</v>
      </c>
      <c r="I75" s="15">
        <f t="shared" si="8"/>
        <v>10352265</v>
      </c>
      <c r="J75" s="3" t="s">
        <v>13</v>
      </c>
    </row>
    <row r="76" spans="1:10" x14ac:dyDescent="0.4">
      <c r="A76" s="2">
        <v>75</v>
      </c>
      <c r="B76" s="1" t="s">
        <v>137</v>
      </c>
      <c r="C76" s="1" t="s">
        <v>18</v>
      </c>
      <c r="D76" s="1" t="s">
        <v>138</v>
      </c>
      <c r="E76" s="1">
        <v>28</v>
      </c>
      <c r="F76" s="15">
        <v>395107</v>
      </c>
      <c r="G76" s="15">
        <f t="shared" si="6"/>
        <v>11062996</v>
      </c>
      <c r="H76" s="15">
        <f t="shared" si="7"/>
        <v>1106299.6000000001</v>
      </c>
      <c r="I76" s="15">
        <f t="shared" si="8"/>
        <v>12169295.6</v>
      </c>
      <c r="J76" s="3" t="s">
        <v>13</v>
      </c>
    </row>
    <row r="77" spans="1:10" x14ac:dyDescent="0.4">
      <c r="A77" s="2">
        <v>76</v>
      </c>
      <c r="B77" s="1" t="s">
        <v>139</v>
      </c>
      <c r="C77" s="1" t="s">
        <v>38</v>
      </c>
      <c r="D77" s="1" t="s">
        <v>140</v>
      </c>
      <c r="E77" s="1">
        <v>15</v>
      </c>
      <c r="F77" s="15">
        <v>363526</v>
      </c>
      <c r="G77" s="15">
        <f t="shared" si="6"/>
        <v>5452890</v>
      </c>
      <c r="H77" s="15">
        <f t="shared" si="7"/>
        <v>545289</v>
      </c>
      <c r="I77" s="15">
        <f t="shared" si="8"/>
        <v>5998179</v>
      </c>
      <c r="J77" s="3" t="s">
        <v>13</v>
      </c>
    </row>
    <row r="78" spans="1:10" x14ac:dyDescent="0.4">
      <c r="A78" s="2">
        <v>77</v>
      </c>
      <c r="B78" s="1" t="s">
        <v>141</v>
      </c>
      <c r="C78" s="1" t="s">
        <v>43</v>
      </c>
      <c r="D78" s="1" t="s">
        <v>142</v>
      </c>
      <c r="E78" s="1">
        <v>3</v>
      </c>
      <c r="F78" s="15">
        <v>410088</v>
      </c>
      <c r="G78" s="15">
        <f t="shared" si="6"/>
        <v>1230264</v>
      </c>
      <c r="H78" s="15">
        <f t="shared" si="7"/>
        <v>123026.40000000001</v>
      </c>
      <c r="I78" s="15">
        <f t="shared" si="8"/>
        <v>1353290.4</v>
      </c>
      <c r="J78" s="3" t="s">
        <v>13</v>
      </c>
    </row>
    <row r="79" spans="1:10" x14ac:dyDescent="0.4">
      <c r="A79" s="2">
        <v>78</v>
      </c>
      <c r="B79" s="1" t="s">
        <v>143</v>
      </c>
      <c r="C79" s="1" t="s">
        <v>23</v>
      </c>
      <c r="D79" s="1" t="s">
        <v>144</v>
      </c>
      <c r="E79" s="1">
        <v>42</v>
      </c>
      <c r="F79" s="15">
        <v>241855</v>
      </c>
      <c r="G79" s="15">
        <f t="shared" si="6"/>
        <v>10157910</v>
      </c>
      <c r="H79" s="15">
        <f t="shared" si="7"/>
        <v>1015791</v>
      </c>
      <c r="I79" s="15">
        <f t="shared" si="8"/>
        <v>11173701</v>
      </c>
      <c r="J79" s="3" t="s">
        <v>13</v>
      </c>
    </row>
    <row r="80" spans="1:10" x14ac:dyDescent="0.4">
      <c r="A80" s="2">
        <v>79</v>
      </c>
      <c r="B80" s="1" t="s">
        <v>145</v>
      </c>
      <c r="C80" s="1" t="s">
        <v>52</v>
      </c>
      <c r="D80" s="1" t="s">
        <v>78</v>
      </c>
      <c r="E80" s="1">
        <v>28</v>
      </c>
      <c r="F80" s="15">
        <v>342810</v>
      </c>
      <c r="G80" s="15">
        <f t="shared" si="6"/>
        <v>9598680</v>
      </c>
      <c r="H80" s="15">
        <f t="shared" si="7"/>
        <v>959868</v>
      </c>
      <c r="I80" s="15">
        <f t="shared" si="8"/>
        <v>10558548</v>
      </c>
      <c r="J80" s="3" t="s">
        <v>13</v>
      </c>
    </row>
    <row r="81" spans="1:10" x14ac:dyDescent="0.4">
      <c r="A81" s="2">
        <v>80</v>
      </c>
      <c r="B81" s="1" t="s">
        <v>146</v>
      </c>
      <c r="C81" s="1" t="s">
        <v>11</v>
      </c>
      <c r="D81" s="1" t="s">
        <v>128</v>
      </c>
      <c r="E81" s="1">
        <v>23</v>
      </c>
      <c r="F81" s="15">
        <v>224092</v>
      </c>
      <c r="G81" s="15">
        <f t="shared" si="6"/>
        <v>5154116</v>
      </c>
      <c r="H81" s="15">
        <f t="shared" si="7"/>
        <v>515411.60000000003</v>
      </c>
      <c r="I81" s="15">
        <f t="shared" si="8"/>
        <v>5669527.5999999996</v>
      </c>
      <c r="J81" s="3" t="s">
        <v>13</v>
      </c>
    </row>
    <row r="82" spans="1:10" x14ac:dyDescent="0.4">
      <c r="A82" s="2">
        <v>81</v>
      </c>
      <c r="B82" s="1" t="s">
        <v>147</v>
      </c>
      <c r="C82" s="1" t="s">
        <v>11</v>
      </c>
      <c r="D82" s="1" t="s">
        <v>148</v>
      </c>
      <c r="E82" s="1">
        <v>11</v>
      </c>
      <c r="F82" s="15">
        <v>182912</v>
      </c>
      <c r="G82" s="15">
        <f t="shared" si="6"/>
        <v>2012032</v>
      </c>
      <c r="H82" s="15">
        <f t="shared" si="7"/>
        <v>201203.20000000001</v>
      </c>
      <c r="I82" s="15">
        <f t="shared" si="8"/>
        <v>2213235.2000000002</v>
      </c>
      <c r="J82" s="3" t="s">
        <v>13</v>
      </c>
    </row>
    <row r="83" spans="1:10" x14ac:dyDescent="0.4">
      <c r="A83" s="2">
        <v>82</v>
      </c>
      <c r="B83" s="1" t="s">
        <v>149</v>
      </c>
      <c r="C83" s="1" t="s">
        <v>43</v>
      </c>
      <c r="D83" s="1" t="s">
        <v>125</v>
      </c>
      <c r="E83" s="1">
        <v>26</v>
      </c>
      <c r="F83" s="15">
        <v>436542</v>
      </c>
      <c r="G83" s="15">
        <f t="shared" si="6"/>
        <v>11350092</v>
      </c>
      <c r="H83" s="15">
        <f t="shared" si="7"/>
        <v>1135009.2</v>
      </c>
      <c r="I83" s="15">
        <f t="shared" si="8"/>
        <v>12485101.199999999</v>
      </c>
      <c r="J83" s="3" t="s">
        <v>13</v>
      </c>
    </row>
    <row r="84" spans="1:10" x14ac:dyDescent="0.4">
      <c r="A84" s="2">
        <v>83</v>
      </c>
      <c r="B84" s="1" t="s">
        <v>150</v>
      </c>
      <c r="C84" s="1" t="s">
        <v>23</v>
      </c>
      <c r="D84" s="1" t="s">
        <v>140</v>
      </c>
      <c r="E84" s="1">
        <v>21</v>
      </c>
      <c r="F84" s="15">
        <v>142329</v>
      </c>
      <c r="G84" s="15">
        <f t="shared" si="6"/>
        <v>2988909</v>
      </c>
      <c r="H84" s="15">
        <f t="shared" si="7"/>
        <v>298890.90000000002</v>
      </c>
      <c r="I84" s="15">
        <f t="shared" si="8"/>
        <v>3287799.9</v>
      </c>
      <c r="J84" s="3" t="s">
        <v>13</v>
      </c>
    </row>
    <row r="85" spans="1:10" x14ac:dyDescent="0.4">
      <c r="A85" s="2">
        <v>84</v>
      </c>
      <c r="B85" s="1" t="s">
        <v>151</v>
      </c>
      <c r="C85" s="1" t="s">
        <v>33</v>
      </c>
      <c r="D85" s="1" t="s">
        <v>152</v>
      </c>
      <c r="E85" s="1">
        <v>33</v>
      </c>
      <c r="F85" s="15">
        <v>442499</v>
      </c>
      <c r="G85" s="15">
        <f t="shared" si="6"/>
        <v>14602467</v>
      </c>
      <c r="H85" s="15">
        <f t="shared" si="7"/>
        <v>1460246.7000000002</v>
      </c>
      <c r="I85" s="15">
        <f t="shared" si="8"/>
        <v>16062713.699999999</v>
      </c>
      <c r="J85" s="3" t="s">
        <v>13</v>
      </c>
    </row>
    <row r="86" spans="1:10" x14ac:dyDescent="0.4">
      <c r="A86" s="2">
        <v>85</v>
      </c>
      <c r="B86" s="1" t="s">
        <v>153</v>
      </c>
      <c r="C86" s="1" t="s">
        <v>23</v>
      </c>
      <c r="D86" s="1" t="s">
        <v>36</v>
      </c>
      <c r="E86" s="1">
        <v>4</v>
      </c>
      <c r="F86" s="15">
        <v>108347</v>
      </c>
      <c r="G86" s="15">
        <f t="shared" si="6"/>
        <v>433388</v>
      </c>
      <c r="H86" s="15">
        <f t="shared" si="7"/>
        <v>43338.8</v>
      </c>
      <c r="I86" s="15">
        <f t="shared" si="8"/>
        <v>476726.8</v>
      </c>
      <c r="J86" s="3" t="s">
        <v>13</v>
      </c>
    </row>
    <row r="87" spans="1:10" x14ac:dyDescent="0.4">
      <c r="A87" s="2">
        <v>86</v>
      </c>
      <c r="B87" s="1" t="s">
        <v>154</v>
      </c>
      <c r="C87" s="1" t="s">
        <v>18</v>
      </c>
      <c r="D87" s="1" t="s">
        <v>44</v>
      </c>
      <c r="E87" s="1">
        <v>32</v>
      </c>
      <c r="F87" s="15">
        <v>337894</v>
      </c>
      <c r="G87" s="15">
        <f t="shared" si="6"/>
        <v>10812608</v>
      </c>
      <c r="H87" s="15">
        <f t="shared" si="7"/>
        <v>1081260.8</v>
      </c>
      <c r="I87" s="15">
        <f t="shared" si="8"/>
        <v>11893868.800000001</v>
      </c>
      <c r="J87" s="3" t="s">
        <v>13</v>
      </c>
    </row>
    <row r="88" spans="1:10" x14ac:dyDescent="0.4">
      <c r="A88" s="2">
        <v>87</v>
      </c>
      <c r="B88" s="1" t="s">
        <v>155</v>
      </c>
      <c r="C88" s="1" t="s">
        <v>66</v>
      </c>
      <c r="D88" s="1" t="s">
        <v>107</v>
      </c>
      <c r="E88" s="1">
        <v>36</v>
      </c>
      <c r="F88" s="15">
        <v>78688</v>
      </c>
      <c r="G88" s="15">
        <f t="shared" si="6"/>
        <v>2832768</v>
      </c>
      <c r="H88" s="15">
        <f t="shared" si="7"/>
        <v>283276.79999999999</v>
      </c>
      <c r="I88" s="15">
        <f t="shared" si="8"/>
        <v>3116044.8</v>
      </c>
      <c r="J88" s="3" t="s">
        <v>13</v>
      </c>
    </row>
    <row r="89" spans="1:10" x14ac:dyDescent="0.4">
      <c r="A89" s="2">
        <v>88</v>
      </c>
      <c r="B89" s="1" t="s">
        <v>156</v>
      </c>
      <c r="C89" s="1" t="s">
        <v>23</v>
      </c>
      <c r="D89" s="1" t="s">
        <v>94</v>
      </c>
      <c r="E89" s="1">
        <v>45</v>
      </c>
      <c r="F89" s="15">
        <v>264128</v>
      </c>
      <c r="G89" s="15">
        <f t="shared" si="6"/>
        <v>11885760</v>
      </c>
      <c r="H89" s="15">
        <f t="shared" si="7"/>
        <v>1188576</v>
      </c>
      <c r="I89" s="15">
        <f t="shared" si="8"/>
        <v>13074336</v>
      </c>
      <c r="J89" s="3" t="s">
        <v>13</v>
      </c>
    </row>
    <row r="90" spans="1:10" x14ac:dyDescent="0.4">
      <c r="A90" s="2">
        <v>89</v>
      </c>
      <c r="B90" s="1" t="s">
        <v>157</v>
      </c>
      <c r="C90" s="1" t="s">
        <v>18</v>
      </c>
      <c r="D90" s="1" t="s">
        <v>158</v>
      </c>
      <c r="E90" s="1">
        <v>16</v>
      </c>
      <c r="F90" s="15">
        <v>382130</v>
      </c>
      <c r="G90" s="15">
        <f t="shared" si="6"/>
        <v>6114080</v>
      </c>
      <c r="H90" s="15">
        <f t="shared" si="7"/>
        <v>611408</v>
      </c>
      <c r="I90" s="15">
        <f t="shared" si="8"/>
        <v>6725488</v>
      </c>
      <c r="J90" s="3" t="s">
        <v>13</v>
      </c>
    </row>
    <row r="91" spans="1:10" x14ac:dyDescent="0.4">
      <c r="A91" s="2">
        <v>90</v>
      </c>
      <c r="B91" s="1" t="s">
        <v>159</v>
      </c>
      <c r="C91" s="1" t="s">
        <v>15</v>
      </c>
      <c r="D91" s="1" t="s">
        <v>96</v>
      </c>
      <c r="E91" s="1">
        <v>36</v>
      </c>
      <c r="F91" s="15">
        <v>223904</v>
      </c>
      <c r="G91" s="15">
        <f t="shared" si="6"/>
        <v>8060544</v>
      </c>
      <c r="H91" s="15">
        <f t="shared" si="7"/>
        <v>806054.40000000002</v>
      </c>
      <c r="I91" s="15">
        <f t="shared" si="8"/>
        <v>8866598.4000000004</v>
      </c>
      <c r="J91" s="3" t="s">
        <v>13</v>
      </c>
    </row>
    <row r="92" spans="1:10" x14ac:dyDescent="0.4">
      <c r="A92" s="2">
        <v>91</v>
      </c>
      <c r="B92" s="1" t="s">
        <v>160</v>
      </c>
      <c r="C92" s="1" t="s">
        <v>11</v>
      </c>
      <c r="D92" s="1" t="s">
        <v>12</v>
      </c>
      <c r="E92" s="1">
        <v>8</v>
      </c>
      <c r="F92" s="15">
        <v>349586</v>
      </c>
      <c r="G92" s="15">
        <f t="shared" si="6"/>
        <v>2796688</v>
      </c>
      <c r="H92" s="15">
        <f t="shared" si="7"/>
        <v>279668.8</v>
      </c>
      <c r="I92" s="15">
        <f t="shared" si="8"/>
        <v>3076356.8</v>
      </c>
      <c r="J92" s="3" t="s">
        <v>13</v>
      </c>
    </row>
    <row r="93" spans="1:10" x14ac:dyDescent="0.4">
      <c r="A93" s="2">
        <v>92</v>
      </c>
      <c r="B93" s="1" t="s">
        <v>161</v>
      </c>
      <c r="C93" s="1" t="s">
        <v>23</v>
      </c>
      <c r="D93" s="1" t="s">
        <v>28</v>
      </c>
      <c r="E93" s="1">
        <v>19</v>
      </c>
      <c r="F93" s="15">
        <v>276795</v>
      </c>
      <c r="G93" s="15">
        <f t="shared" si="6"/>
        <v>5259105</v>
      </c>
      <c r="H93" s="15">
        <f t="shared" si="7"/>
        <v>525910.5</v>
      </c>
      <c r="I93" s="15">
        <f t="shared" si="8"/>
        <v>5785015.5</v>
      </c>
      <c r="J93" s="3" t="s">
        <v>13</v>
      </c>
    </row>
    <row r="94" spans="1:10" x14ac:dyDescent="0.4">
      <c r="A94" s="2">
        <v>93</v>
      </c>
      <c r="B94" s="1" t="s">
        <v>162</v>
      </c>
      <c r="C94" s="1" t="s">
        <v>33</v>
      </c>
      <c r="D94" s="1" t="s">
        <v>53</v>
      </c>
      <c r="E94" s="1">
        <v>31</v>
      </c>
      <c r="F94" s="15">
        <v>257579</v>
      </c>
      <c r="G94" s="15">
        <f t="shared" si="6"/>
        <v>7984949</v>
      </c>
      <c r="H94" s="15">
        <f t="shared" si="7"/>
        <v>798494.9</v>
      </c>
      <c r="I94" s="15">
        <f t="shared" si="8"/>
        <v>8783443.9000000004</v>
      </c>
      <c r="J94" s="3" t="s">
        <v>13</v>
      </c>
    </row>
    <row r="95" spans="1:10" x14ac:dyDescent="0.4">
      <c r="A95" s="2">
        <v>94</v>
      </c>
      <c r="B95" s="1" t="s">
        <v>163</v>
      </c>
      <c r="C95" s="1" t="s">
        <v>15</v>
      </c>
      <c r="D95" s="1" t="s">
        <v>118</v>
      </c>
      <c r="E95" s="1">
        <v>25</v>
      </c>
      <c r="F95" s="15">
        <v>109934</v>
      </c>
      <c r="G95" s="15">
        <f t="shared" si="6"/>
        <v>2748350</v>
      </c>
      <c r="H95" s="15">
        <f t="shared" si="7"/>
        <v>274835</v>
      </c>
      <c r="I95" s="15">
        <f t="shared" si="8"/>
        <v>3023185</v>
      </c>
      <c r="J95" s="3" t="s">
        <v>13</v>
      </c>
    </row>
    <row r="96" spans="1:10" x14ac:dyDescent="0.4">
      <c r="A96" s="2">
        <v>95</v>
      </c>
      <c r="B96" s="1" t="s">
        <v>164</v>
      </c>
      <c r="C96" s="1" t="s">
        <v>52</v>
      </c>
      <c r="D96" s="1" t="s">
        <v>152</v>
      </c>
      <c r="E96" s="1">
        <v>5</v>
      </c>
      <c r="F96" s="15">
        <v>154833</v>
      </c>
      <c r="G96" s="15">
        <f t="shared" si="6"/>
        <v>774165</v>
      </c>
      <c r="H96" s="15">
        <f t="shared" si="7"/>
        <v>77416.5</v>
      </c>
      <c r="I96" s="15">
        <f t="shared" si="8"/>
        <v>851581.5</v>
      </c>
      <c r="J96" s="3" t="s">
        <v>13</v>
      </c>
    </row>
    <row r="97" spans="1:10" x14ac:dyDescent="0.4">
      <c r="A97" s="2">
        <v>96</v>
      </c>
      <c r="B97" s="1" t="s">
        <v>165</v>
      </c>
      <c r="C97" s="1" t="s">
        <v>30</v>
      </c>
      <c r="D97" s="1" t="s">
        <v>81</v>
      </c>
      <c r="E97" s="1">
        <v>33</v>
      </c>
      <c r="F97" s="15">
        <v>150075</v>
      </c>
      <c r="G97" s="15">
        <f t="shared" si="6"/>
        <v>4952475</v>
      </c>
      <c r="H97" s="15">
        <f t="shared" si="7"/>
        <v>495247.5</v>
      </c>
      <c r="I97" s="15">
        <f t="shared" si="8"/>
        <v>5447722.5</v>
      </c>
      <c r="J97" s="3" t="s">
        <v>13</v>
      </c>
    </row>
    <row r="98" spans="1:10" x14ac:dyDescent="0.4">
      <c r="A98" s="2">
        <v>97</v>
      </c>
      <c r="B98" s="1" t="s">
        <v>166</v>
      </c>
      <c r="C98" s="1" t="s">
        <v>43</v>
      </c>
      <c r="D98" s="1" t="s">
        <v>167</v>
      </c>
      <c r="E98" s="1">
        <v>20</v>
      </c>
      <c r="F98" s="15">
        <v>449078</v>
      </c>
      <c r="G98" s="15">
        <f t="shared" ref="G98:G101" si="9">E98*F98</f>
        <v>8981560</v>
      </c>
      <c r="H98" s="15">
        <f t="shared" ref="H98:H101" si="10">G98*0.1</f>
        <v>898156</v>
      </c>
      <c r="I98" s="15">
        <f t="shared" ref="I98:I101" si="11">G98+H98</f>
        <v>9879716</v>
      </c>
      <c r="J98" s="3" t="s">
        <v>13</v>
      </c>
    </row>
    <row r="99" spans="1:10" x14ac:dyDescent="0.4">
      <c r="A99" s="2">
        <v>98</v>
      </c>
      <c r="B99" s="1" t="s">
        <v>168</v>
      </c>
      <c r="C99" s="1" t="s">
        <v>52</v>
      </c>
      <c r="D99" s="1" t="s">
        <v>21</v>
      </c>
      <c r="E99" s="1">
        <v>35</v>
      </c>
      <c r="F99" s="15">
        <v>263934</v>
      </c>
      <c r="G99" s="15">
        <f t="shared" si="9"/>
        <v>9237690</v>
      </c>
      <c r="H99" s="15">
        <f t="shared" si="10"/>
        <v>923769</v>
      </c>
      <c r="I99" s="15">
        <f t="shared" si="11"/>
        <v>10161459</v>
      </c>
      <c r="J99" s="3" t="s">
        <v>13</v>
      </c>
    </row>
    <row r="100" spans="1:10" x14ac:dyDescent="0.4">
      <c r="A100" s="2">
        <v>99</v>
      </c>
      <c r="B100" s="1" t="s">
        <v>169</v>
      </c>
      <c r="C100" s="1" t="s">
        <v>15</v>
      </c>
      <c r="D100" s="1" t="s">
        <v>44</v>
      </c>
      <c r="E100" s="1">
        <v>35</v>
      </c>
      <c r="F100" s="15">
        <v>207766</v>
      </c>
      <c r="G100" s="15">
        <f t="shared" si="9"/>
        <v>7271810</v>
      </c>
      <c r="H100" s="15">
        <f t="shared" si="10"/>
        <v>727181</v>
      </c>
      <c r="I100" s="15">
        <f t="shared" si="11"/>
        <v>7998991</v>
      </c>
      <c r="J100" s="3" t="s">
        <v>13</v>
      </c>
    </row>
    <row r="101" spans="1:10" ht="18" thickBot="1" x14ac:dyDescent="0.45">
      <c r="A101" s="4">
        <v>100</v>
      </c>
      <c r="B101" s="5" t="s">
        <v>170</v>
      </c>
      <c r="C101" s="5" t="s">
        <v>66</v>
      </c>
      <c r="D101" s="5" t="s">
        <v>34</v>
      </c>
      <c r="E101" s="5">
        <v>16</v>
      </c>
      <c r="F101" s="16">
        <v>309786</v>
      </c>
      <c r="G101" s="16">
        <f t="shared" si="9"/>
        <v>4956576</v>
      </c>
      <c r="H101" s="16">
        <f t="shared" si="10"/>
        <v>495657.60000000003</v>
      </c>
      <c r="I101" s="16">
        <f t="shared" si="11"/>
        <v>5452233.5999999996</v>
      </c>
      <c r="J101" s="6" t="s">
        <v>13</v>
      </c>
    </row>
  </sheetData>
  <phoneticPr fontId="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발주내역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EZ</cp:lastModifiedBy>
  <dcterms:created xsi:type="dcterms:W3CDTF">2026-04-01T16:06:49Z</dcterms:created>
  <dcterms:modified xsi:type="dcterms:W3CDTF">2026-04-02T01:38:31Z</dcterms:modified>
</cp:coreProperties>
</file>